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법" sheetId="1" state="visible" r:id="rId3"/>
    <sheet name="유형정의" sheetId="2" state="visible" r:id="rId4"/>
    <sheet name="질문별점수표" sheetId="3" state="visible" r:id="rId5"/>
    <sheet name="결과계산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<sst xmlns="http://schemas.openxmlformats.org/spreadsheetml/2006/main" count="222" uniqueCount="169">
  <si>
    <r>
      <rPr>
        <b val="true"/>
        <sz val="16"/>
        <rFont val="Arial"/>
        <family val="0"/>
        <charset val="1"/>
      </rPr>
      <t xml:space="preserve">LAYER </t>
    </r>
    <r>
      <rPr>
        <b val="true"/>
        <sz val="16"/>
        <rFont val="Noto Sans CJK SC"/>
        <family val="2"/>
      </rPr>
      <t xml:space="preserve">향수 유형 진단 로직 — 사용 설명서</t>
    </r>
  </si>
  <si>
    <t xml:space="preserve">① 구조</t>
  </si>
  <si>
    <r>
      <rPr>
        <sz val="11"/>
        <rFont val="Noto Sans CJK SC"/>
        <family val="2"/>
      </rPr>
      <t xml:space="preserve">이 워크북은 두 개의 축으로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가지 향수 유형을 결정합니다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</si>
  <si>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   • 축 </t>
    </r>
    <r>
      <rPr>
        <sz val="11"/>
        <rFont val="Arial"/>
        <family val="0"/>
        <charset val="1"/>
      </rPr>
      <t xml:space="preserve">A (</t>
    </r>
    <r>
      <rPr>
        <sz val="11"/>
        <rFont val="Noto Sans CJK SC"/>
        <family val="2"/>
      </rPr>
      <t xml:space="preserve">존재감</t>
    </r>
    <r>
      <rPr>
        <sz val="11"/>
        <rFont val="Arial"/>
        <family val="0"/>
        <charset val="1"/>
      </rPr>
      <t xml:space="preserve">) : </t>
    </r>
    <r>
      <rPr>
        <sz val="11"/>
        <rFont val="Noto Sans CJK SC"/>
        <family val="2"/>
      </rPr>
      <t xml:space="preserve">은은함 ↔ 확실함 — </t>
    </r>
    <r>
      <rPr>
        <sz val="11"/>
        <rFont val="Arial"/>
        <family val="0"/>
        <charset val="1"/>
      </rPr>
      <t xml:space="preserve">Q2·Q3·Q4 </t>
    </r>
    <r>
      <rPr>
        <sz val="11"/>
        <rFont val="Noto Sans CJK SC"/>
        <family val="2"/>
      </rPr>
      <t xml:space="preserve">응답으로 계산</t>
    </r>
  </si>
  <si>
    <r>
      <rPr>
        <sz val="11"/>
        <rFont val="Noto Sans CJK SC"/>
        <family val="2"/>
      </rPr>
      <t xml:space="preserve">   • 축 </t>
    </r>
    <r>
      <rPr>
        <sz val="11"/>
        <rFont val="Arial"/>
        <family val="0"/>
        <charset val="1"/>
      </rPr>
      <t xml:space="preserve">B (</t>
    </r>
    <r>
      <rPr>
        <sz val="11"/>
        <rFont val="Noto Sans CJK SC"/>
        <family val="2"/>
      </rPr>
      <t xml:space="preserve">태도</t>
    </r>
    <r>
      <rPr>
        <sz val="11"/>
        <rFont val="Arial"/>
        <family val="0"/>
        <charset val="1"/>
      </rPr>
      <t xml:space="preserve">) : </t>
    </r>
    <r>
      <rPr>
        <sz val="11"/>
        <rFont val="Noto Sans CJK SC"/>
        <family val="2"/>
      </rPr>
      <t xml:space="preserve">한결같음 ↔ 탐험적 — </t>
    </r>
    <r>
      <rPr>
        <sz val="11"/>
        <rFont val="Arial"/>
        <family val="0"/>
        <charset val="1"/>
      </rPr>
      <t xml:space="preserve">Q1·Q2·Q3·Q4·Q5 </t>
    </r>
    <r>
      <rPr>
        <sz val="11"/>
        <rFont val="Noto Sans CJK SC"/>
        <family val="2"/>
      </rPr>
      <t xml:space="preserve">응답으로 계산 </t>
    </r>
    <r>
      <rPr>
        <sz val="11"/>
        <rFont val="Arial"/>
        <family val="0"/>
        <charset val="1"/>
      </rPr>
      <t xml:space="preserve">(Q5 </t>
    </r>
    <r>
      <rPr>
        <sz val="11"/>
        <rFont val="Noto Sans CJK SC"/>
        <family val="2"/>
      </rPr>
      <t xml:space="preserve">가중치 최대</t>
    </r>
    <r>
      <rPr>
        <sz val="11"/>
        <rFont val="Arial"/>
        <family val="0"/>
        <charset val="1"/>
      </rPr>
      <t xml:space="preserve">)</t>
    </r>
  </si>
  <si>
    <t xml:space="preserve">② 시트 구성</t>
  </si>
  <si>
    <r>
      <rPr>
        <sz val="11"/>
        <rFont val="Noto Sans CJK SC"/>
        <family val="2"/>
      </rPr>
      <t xml:space="preserve">   • 유형정의 </t>
    </r>
    <r>
      <rPr>
        <sz val="11"/>
        <rFont val="Arial"/>
        <family val="0"/>
        <charset val="1"/>
      </rPr>
      <t xml:space="preserve">: 6</t>
    </r>
    <r>
      <rPr>
        <sz val="11"/>
        <rFont val="Noto Sans CJK SC"/>
        <family val="2"/>
      </rPr>
      <t xml:space="preserve">개 최종 유형의 이름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서브타이틀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설명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해시태그</t>
    </r>
  </si>
  <si>
    <r>
      <rPr>
        <sz val="11"/>
        <rFont val="Noto Sans CJK SC"/>
        <family val="2"/>
      </rPr>
      <t xml:space="preserve">   • 질문별점수표 </t>
    </r>
    <r>
      <rPr>
        <sz val="11"/>
        <rFont val="Arial"/>
        <family val="0"/>
        <charset val="1"/>
      </rPr>
      <t xml:space="preserve">: Q1~Q5 </t>
    </r>
    <r>
      <rPr>
        <sz val="11"/>
        <rFont val="Noto Sans CJK SC"/>
        <family val="2"/>
      </rPr>
      <t xml:space="preserve">전체 선택지와 각 선택지가 축 </t>
    </r>
    <r>
      <rPr>
        <sz val="11"/>
        <rFont val="Arial"/>
        <family val="0"/>
        <charset val="1"/>
      </rPr>
      <t xml:space="preserve">A/B</t>
    </r>
    <r>
      <rPr>
        <sz val="11"/>
        <rFont val="Noto Sans CJK SC"/>
        <family val="2"/>
      </rPr>
      <t xml:space="preserve">에 주는 점수</t>
    </r>
  </si>
  <si>
    <r>
      <rPr>
        <sz val="11"/>
        <rFont val="Noto Sans CJK SC"/>
        <family val="2"/>
      </rPr>
      <t xml:space="preserve">   • 결과계산기 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실제 유저가 고른 선택지를 입력하면 자동으로 유형이 산출되는 시트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개발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기획 검증용</t>
    </r>
    <r>
      <rPr>
        <sz val="11"/>
        <rFont val="Arial"/>
        <family val="0"/>
        <charset val="1"/>
      </rPr>
      <t xml:space="preserve">)</t>
    </r>
  </si>
  <si>
    <t xml:space="preserve">③ 결과계산기 사용법</t>
  </si>
  <si>
    <r>
      <rPr>
        <sz val="11"/>
        <rFont val="Noto Sans CJK SC"/>
        <family val="2"/>
      </rPr>
      <t xml:space="preserve">   • 노란 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파란 글씨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입력 칸입니다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</si>
  <si>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 • Q1, Q4, Q5</t>
    </r>
    <r>
      <rPr>
        <sz val="11"/>
        <rFont val="Noto Sans CJK SC"/>
        <family val="2"/>
      </rPr>
      <t xml:space="preserve">는 드롭다운에서 선택지 하나를 고릅니다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단일 선택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</si>
  <si>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   • Q2, Q3</t>
    </r>
    <r>
      <rPr>
        <sz val="11"/>
        <rFont val="Noto Sans CJK SC"/>
        <family val="2"/>
      </rPr>
      <t xml:space="preserve">는 선택한 항목에 </t>
    </r>
    <r>
      <rPr>
        <sz val="11"/>
        <rFont val="Arial"/>
        <family val="0"/>
        <charset val="1"/>
      </rPr>
      <t xml:space="preserve">1, </t>
    </r>
    <r>
      <rPr>
        <sz val="11"/>
        <rFont val="Noto Sans CJK SC"/>
        <family val="2"/>
      </rPr>
      <t xml:space="preserve">선택 안 한 항목에 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을 입력합니다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복수 선택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</si>
  <si>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   • 입력을 마치면 하단에 축 </t>
    </r>
    <r>
      <rPr>
        <sz val="11"/>
        <rFont val="Arial"/>
        <family val="0"/>
        <charset val="1"/>
      </rPr>
      <t xml:space="preserve">A/B </t>
    </r>
    <r>
      <rPr>
        <sz val="11"/>
        <rFont val="Noto Sans CJK SC"/>
        <family val="2"/>
      </rPr>
      <t xml:space="preserve">점수와 최종 유형이 자동으로 계산됩니다</t>
    </r>
    <r>
      <rPr>
        <sz val="11"/>
        <rFont val="Arial"/>
        <family val="0"/>
        <charset val="1"/>
      </rPr>
      <t xml:space="preserve">.</t>
    </r>
  </si>
  <si>
    <t xml:space="preserve">④ 실제 개발 반영 시</t>
  </si>
  <si>
    <r>
      <rPr>
        <sz val="11"/>
        <rFont val="Arial"/>
        <family val="0"/>
        <charset val="1"/>
      </rPr>
      <t xml:space="preserve">   • '</t>
    </r>
    <r>
      <rPr>
        <sz val="11"/>
        <rFont val="Noto Sans CJK SC"/>
        <family val="2"/>
      </rPr>
      <t xml:space="preserve">질문별점수표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의 점수를 그대로 서버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클라이언트 로직에 상수로 옮기면 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</si>
  <si>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   • 축 </t>
    </r>
    <r>
      <rPr>
        <sz val="11"/>
        <rFont val="Arial"/>
        <family val="0"/>
        <charset val="1"/>
      </rPr>
      <t xml:space="preserve">A, B </t>
    </r>
    <r>
      <rPr>
        <sz val="11"/>
        <rFont val="Noto Sans CJK SC"/>
        <family val="2"/>
      </rPr>
      <t xml:space="preserve">최종 판정 구간은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결과계산기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하단의 기준표를 참고하세요</t>
    </r>
    <r>
      <rPr>
        <sz val="11"/>
        <rFont val="Arial"/>
        <family val="0"/>
        <charset val="1"/>
      </rPr>
      <t xml:space="preserve">.</t>
    </r>
  </si>
  <si>
    <r>
      <rPr>
        <b val="true"/>
        <sz val="16"/>
        <rFont val="Arial"/>
        <family val="0"/>
        <charset val="1"/>
      </rPr>
      <t xml:space="preserve">LAYER </t>
    </r>
    <r>
      <rPr>
        <b val="true"/>
        <sz val="16"/>
        <rFont val="Noto Sans CJK SC"/>
        <family val="2"/>
      </rPr>
      <t xml:space="preserve">향수 유형 </t>
    </r>
    <r>
      <rPr>
        <b val="true"/>
        <sz val="16"/>
        <rFont val="Arial"/>
        <family val="0"/>
        <charset val="1"/>
      </rPr>
      <t xml:space="preserve">6</t>
    </r>
    <r>
      <rPr>
        <b val="true"/>
        <sz val="16"/>
        <rFont val="Noto Sans CJK SC"/>
        <family val="2"/>
      </rPr>
      <t xml:space="preserve">가지</t>
    </r>
  </si>
  <si>
    <r>
      <rPr>
        <i val="true"/>
        <sz val="9"/>
        <color rgb="FF808080"/>
        <rFont val="Noto Sans CJK SC"/>
        <family val="2"/>
      </rPr>
      <t xml:space="preserve">축 </t>
    </r>
    <r>
      <rPr>
        <i val="true"/>
        <sz val="9"/>
        <color rgb="FF808080"/>
        <rFont val="Arial"/>
        <family val="0"/>
        <charset val="1"/>
      </rPr>
      <t xml:space="preserve">A(</t>
    </r>
    <r>
      <rPr>
        <i val="true"/>
        <sz val="9"/>
        <color rgb="FF808080"/>
        <rFont val="Noto Sans CJK SC"/>
        <family val="2"/>
      </rPr>
      <t xml:space="preserve">존재감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은은함↔확실함</t>
    </r>
    <r>
      <rPr>
        <i val="true"/>
        <sz val="9"/>
        <color rgb="FF808080"/>
        <rFont val="Arial"/>
        <family val="0"/>
        <charset val="1"/>
      </rPr>
      <t xml:space="preserve">) × </t>
    </r>
    <r>
      <rPr>
        <i val="true"/>
        <sz val="9"/>
        <color rgb="FF808080"/>
        <rFont val="Noto Sans CJK SC"/>
        <family val="2"/>
      </rPr>
      <t xml:space="preserve">축 </t>
    </r>
    <r>
      <rPr>
        <i val="true"/>
        <sz val="9"/>
        <color rgb="FF808080"/>
        <rFont val="Arial"/>
        <family val="0"/>
        <charset val="1"/>
      </rPr>
      <t xml:space="preserve">B(</t>
    </r>
    <r>
      <rPr>
        <i val="true"/>
        <sz val="9"/>
        <color rgb="FF808080"/>
        <rFont val="Noto Sans CJK SC"/>
        <family val="2"/>
      </rPr>
      <t xml:space="preserve">태도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한결같음↔탐험적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Noto Sans CJK SC"/>
        <family val="2"/>
      </rPr>
      <t xml:space="preserve">매트릭스 기반</t>
    </r>
  </si>
  <si>
    <t xml:space="preserve">No</t>
  </si>
  <si>
    <r>
      <rPr>
        <b val="true"/>
        <sz val="11"/>
        <color rgb="FFFFFFFF"/>
        <rFont val="Noto Sans CJK SC"/>
        <family val="2"/>
      </rPr>
      <t xml:space="preserve">축</t>
    </r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판정</t>
    </r>
  </si>
  <si>
    <r>
      <rPr>
        <b val="true"/>
        <sz val="11"/>
        <color rgb="FFFFFFFF"/>
        <rFont val="Noto Sans CJK SC"/>
        <family val="2"/>
      </rPr>
      <t xml:space="preserve">축</t>
    </r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판정</t>
    </r>
  </si>
  <si>
    <r>
      <rPr>
        <b val="true"/>
        <sz val="11"/>
        <color rgb="FFFFFFFF"/>
        <rFont val="Noto Sans CJK SC"/>
        <family val="2"/>
      </rPr>
      <t xml:space="preserve">유형명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영문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</si>
  <si>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유형명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국문 서브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</si>
  <si>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한줄 설명</t>
  </si>
  <si>
    <r>
      <rPr>
        <b val="true"/>
        <sz val="11"/>
        <color rgb="FFFFFFFF"/>
        <rFont val="Noto Sans CJK SC"/>
        <family val="2"/>
      </rPr>
      <t xml:space="preserve">대표 해시태그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</si>
  <si>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대표 해시태그</t>
    </r>
    <r>
      <rPr>
        <b val="true"/>
        <sz val="11"/>
        <color rgb="FFFFFFFF"/>
        <rFont val="Arial"/>
        <family val="0"/>
        <charset val="1"/>
      </rPr>
      <t xml:space="preserve">2/3</t>
    </r>
  </si>
  <si>
    <t xml:space="preserve">매칭키</t>
  </si>
  <si>
    <t xml:space="preserve">은은함</t>
  </si>
  <si>
    <t xml:space="preserve">한결같음</t>
  </si>
  <si>
    <t xml:space="preserve">Quiet Signature</t>
  </si>
  <si>
    <t xml:space="preserve">조용한 시그니처형</t>
  </si>
  <si>
    <r>
      <rPr>
        <sz val="11"/>
        <rFont val="Noto Sans CJK SC"/>
        <family val="2"/>
      </rPr>
      <t xml:space="preserve">한 가지 향을 은은하게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나만 아는 방식으로 오래 지키는 타입</t>
    </r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</si>
  <si>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은은한</t>
    </r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</si>
  <si>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한결같은 </t>
    </r>
    <r>
      <rPr>
        <sz val="11"/>
        <rFont val="Arial"/>
        <family val="0"/>
        <charset val="1"/>
      </rPr>
      <t xml:space="preserve">/ #</t>
    </r>
    <r>
      <rPr>
        <sz val="11"/>
        <rFont val="Noto Sans CJK SC"/>
        <family val="2"/>
      </rPr>
      <t xml:space="preserve">데일리</t>
    </r>
  </si>
  <si>
    <t xml:space="preserve">균형</t>
  </si>
  <si>
    <t xml:space="preserve">Daily Basic</t>
  </si>
  <si>
    <t xml:space="preserve">데일리 베이직형</t>
  </si>
  <si>
    <t xml:space="preserve">부담 없이 매일 쓸 수 있는 무난한 향을 꾸준히 선택하는 타입</t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</si>
  <si>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무난한</t>
    </r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</si>
  <si>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데일리 </t>
    </r>
    <r>
      <rPr>
        <sz val="11"/>
        <rFont val="Arial"/>
        <family val="0"/>
        <charset val="1"/>
      </rPr>
      <t xml:space="preserve">/ #</t>
    </r>
    <r>
      <rPr>
        <sz val="11"/>
        <rFont val="Noto Sans CJK SC"/>
        <family val="2"/>
      </rPr>
      <t xml:space="preserve">꾸준함</t>
    </r>
  </si>
  <si>
    <t xml:space="preserve">확실함</t>
  </si>
  <si>
    <t xml:space="preserve">Bold Signature</t>
  </si>
  <si>
    <t xml:space="preserve">강렬한 시그니처형</t>
  </si>
  <si>
    <t xml:space="preserve">존재감 있는 향 하나를 자신 있게 밀고 가는 타입</t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</si>
  <si>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존재감</t>
    </r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</si>
  <si>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자신감 </t>
    </r>
    <r>
      <rPr>
        <sz val="11"/>
        <rFont val="Arial"/>
        <family val="0"/>
        <charset val="1"/>
      </rPr>
      <t xml:space="preserve">/ #</t>
    </r>
    <r>
      <rPr>
        <sz val="11"/>
        <rFont val="Noto Sans CJK SC"/>
        <family val="2"/>
      </rPr>
      <t xml:space="preserve">시그니처</t>
    </r>
  </si>
  <si>
    <t xml:space="preserve">탐험적</t>
  </si>
  <si>
    <t xml:space="preserve">Soft Explorer</t>
  </si>
  <si>
    <t xml:space="preserve">부드러운 탐험가형</t>
  </si>
  <si>
    <t xml:space="preserve">은은한 향들을 여러 개 시도하며 취향을 넓혀가는 타입</t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</si>
  <si>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다양함 </t>
    </r>
    <r>
      <rPr>
        <sz val="11"/>
        <rFont val="Arial"/>
        <family val="0"/>
        <charset val="1"/>
      </rPr>
      <t xml:space="preserve">/ #</t>
    </r>
    <r>
      <rPr>
        <sz val="11"/>
        <rFont val="Noto Sans CJK SC"/>
        <family val="2"/>
      </rPr>
      <t xml:space="preserve">호기심</t>
    </r>
  </si>
  <si>
    <t xml:space="preserve">Mood Shifter</t>
  </si>
  <si>
    <t xml:space="preserve">무드 셰프터형</t>
  </si>
  <si>
    <t xml:space="preserve">그날 기분에 따라 여러 무드의 향을 자유롭게 바꿔 쓰는 타입</t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</si>
  <si>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기분전환</t>
    </r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</si>
  <si>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다양함 </t>
    </r>
    <r>
      <rPr>
        <sz val="11"/>
        <rFont val="Arial"/>
        <family val="0"/>
        <charset val="1"/>
      </rPr>
      <t xml:space="preserve">/ #</t>
    </r>
    <r>
      <rPr>
        <sz val="11"/>
        <rFont val="Noto Sans CJK SC"/>
        <family val="2"/>
      </rPr>
      <t xml:space="preserve">자유로운</t>
    </r>
  </si>
  <si>
    <t xml:space="preserve">Layer Maximalist</t>
  </si>
  <si>
    <t xml:space="preserve">레이어 맥시멀리스트형</t>
  </si>
  <si>
    <t xml:space="preserve">여러 향을 적극적으로 겹쳐서 나만의 조합을 실험하는 타입</t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</si>
  <si>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레이어링</t>
    </r>
  </si>
  <si>
    <r>
      <rPr>
        <sz val="11"/>
        <rFont val="Arial"/>
        <family val="0"/>
        <charset val="1"/>
      </rPr>
      <t xml:space="preserve">#</t>
    </r>
    <r>
      <rPr>
        <sz val="11"/>
        <rFont val="Noto Sans CJK SC"/>
        <family val="2"/>
      </rPr>
      <t xml:space="preserve">존재감 </t>
    </r>
    <r>
      <rPr>
        <sz val="11"/>
        <rFont val="Arial"/>
        <family val="0"/>
        <charset val="1"/>
      </rPr>
      <t xml:space="preserve">/ #</t>
    </r>
    <r>
      <rPr>
        <sz val="11"/>
        <rFont val="Noto Sans CJK SC"/>
        <family val="2"/>
      </rPr>
      <t xml:space="preserve">실험적</t>
    </r>
  </si>
  <si>
    <r>
      <rPr>
        <b val="true"/>
        <sz val="16"/>
        <rFont val="Noto Sans CJK SC"/>
        <family val="2"/>
      </rPr>
      <t xml:space="preserve">질문별 선택지 → 축 </t>
    </r>
    <r>
      <rPr>
        <b val="true"/>
        <sz val="16"/>
        <rFont val="Arial"/>
        <family val="0"/>
        <charset val="1"/>
      </rPr>
      <t xml:space="preserve">A / </t>
    </r>
    <r>
      <rPr>
        <b val="true"/>
        <sz val="16"/>
        <rFont val="Noto Sans CJK SC"/>
        <family val="2"/>
      </rPr>
      <t xml:space="preserve">축 </t>
    </r>
    <r>
      <rPr>
        <b val="true"/>
        <sz val="16"/>
        <rFont val="Arial"/>
        <family val="0"/>
        <charset val="1"/>
      </rPr>
      <t xml:space="preserve">B </t>
    </r>
    <r>
      <rPr>
        <b val="true"/>
        <sz val="16"/>
        <rFont val="Noto Sans CJK SC"/>
        <family val="2"/>
      </rPr>
      <t xml:space="preserve">점수표</t>
    </r>
  </si>
  <si>
    <r>
      <rPr>
        <i val="true"/>
        <sz val="9"/>
        <color rgb="FF808080"/>
        <rFont val="Noto Sans CJK SC"/>
        <family val="2"/>
      </rPr>
      <t xml:space="preserve">축</t>
    </r>
    <r>
      <rPr>
        <i val="true"/>
        <sz val="9"/>
        <color rgb="FF808080"/>
        <rFont val="Arial"/>
        <family val="0"/>
        <charset val="1"/>
      </rPr>
      <t xml:space="preserve">A: </t>
    </r>
    <r>
      <rPr>
        <i val="true"/>
        <sz val="9"/>
        <color rgb="FF808080"/>
        <rFont val="Noto Sans CJK SC"/>
        <family val="2"/>
      </rPr>
      <t xml:space="preserve">확실함</t>
    </r>
    <r>
      <rPr>
        <i val="true"/>
        <sz val="9"/>
        <color rgb="FF808080"/>
        <rFont val="Arial"/>
        <family val="0"/>
        <charset val="1"/>
      </rPr>
      <t xml:space="preserve">(+) / </t>
    </r>
    <r>
      <rPr>
        <i val="true"/>
        <sz val="9"/>
        <color rgb="FF808080"/>
        <rFont val="Noto Sans CJK SC"/>
        <family val="2"/>
      </rPr>
      <t xml:space="preserve">은은함</t>
    </r>
    <r>
      <rPr>
        <i val="true"/>
        <sz val="9"/>
        <color rgb="FF808080"/>
        <rFont val="Arial"/>
        <family val="0"/>
        <charset val="1"/>
      </rPr>
      <t xml:space="preserve">(−)  ·  </t>
    </r>
    <r>
      <rPr>
        <i val="true"/>
        <sz val="9"/>
        <color rgb="FF808080"/>
        <rFont val="Noto Sans CJK SC"/>
        <family val="2"/>
      </rPr>
      <t xml:space="preserve">축</t>
    </r>
    <r>
      <rPr>
        <i val="true"/>
        <sz val="9"/>
        <color rgb="FF808080"/>
        <rFont val="Arial"/>
        <family val="0"/>
        <charset val="1"/>
      </rPr>
      <t xml:space="preserve">B: </t>
    </r>
    <r>
      <rPr>
        <i val="true"/>
        <sz val="9"/>
        <color rgb="FF808080"/>
        <rFont val="Noto Sans CJK SC"/>
        <family val="2"/>
      </rPr>
      <t xml:space="preserve">탐험적</t>
    </r>
    <r>
      <rPr>
        <i val="true"/>
        <sz val="9"/>
        <color rgb="FF808080"/>
        <rFont val="Arial"/>
        <family val="0"/>
        <charset val="1"/>
      </rPr>
      <t xml:space="preserve">(+) / </t>
    </r>
    <r>
      <rPr>
        <i val="true"/>
        <sz val="9"/>
        <color rgb="FF808080"/>
        <rFont val="Noto Sans CJK SC"/>
        <family val="2"/>
      </rPr>
      <t xml:space="preserve">한결같음</t>
    </r>
    <r>
      <rPr>
        <i val="true"/>
        <sz val="9"/>
        <color rgb="FF808080"/>
        <rFont val="Arial"/>
        <family val="0"/>
        <charset val="1"/>
      </rPr>
      <t xml:space="preserve">(−)</t>
    </r>
  </si>
  <si>
    <t xml:space="preserve">구분</t>
  </si>
  <si>
    <t xml:space="preserve">질문</t>
  </si>
  <si>
    <t xml:space="preserve">선택지</t>
  </si>
  <si>
    <r>
      <rPr>
        <b val="true"/>
        <sz val="11"/>
        <color rgb="FFFFFFFF"/>
        <rFont val="Noto Sans CJK SC"/>
        <family val="2"/>
      </rPr>
      <t xml:space="preserve">축</t>
    </r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점수</t>
    </r>
  </si>
  <si>
    <r>
      <rPr>
        <b val="true"/>
        <sz val="11"/>
        <color rgb="FFFFFFFF"/>
        <rFont val="Noto Sans CJK SC"/>
        <family val="2"/>
      </rPr>
      <t xml:space="preserve">축</t>
    </r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점수</t>
    </r>
  </si>
  <si>
    <t xml:space="preserve">비고</t>
  </si>
  <si>
    <t xml:space="preserve">LOOKUP KEY</t>
  </si>
  <si>
    <r>
      <rPr>
        <b val="true"/>
        <sz val="11"/>
        <rFont val="Noto Sans CJK SC"/>
        <family val="2"/>
      </rPr>
      <t xml:space="preserve">축</t>
    </r>
    <r>
      <rPr>
        <b val="true"/>
        <sz val="11"/>
        <rFont val="Arial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</si>
  <si>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축</t>
    </r>
    <r>
      <rPr>
        <b val="true"/>
        <sz val="11"/>
        <rFont val="Arial"/>
        <family val="0"/>
        <charset val="1"/>
      </rPr>
      <t xml:space="preserve">B</t>
    </r>
  </si>
  <si>
    <t xml:space="preserve">Q1</t>
  </si>
  <si>
    <r>
      <rPr>
        <sz val="11"/>
        <rFont val="Noto Sans CJK SC"/>
        <family val="2"/>
      </rPr>
      <t xml:space="preserve">당신의 향수 컬렉션은 몇 병인가요</t>
    </r>
    <r>
      <rPr>
        <sz val="11"/>
        <rFont val="Arial"/>
        <family val="0"/>
        <charset val="1"/>
      </rPr>
      <t xml:space="preserve">? (</t>
    </r>
    <r>
      <rPr>
        <sz val="11"/>
        <rFont val="Noto Sans CJK SC"/>
        <family val="2"/>
      </rPr>
      <t xml:space="preserve">단일선택</t>
    </r>
    <r>
      <rPr>
        <sz val="11"/>
        <rFont val="Arial"/>
        <family val="0"/>
        <charset val="1"/>
      </rPr>
      <t xml:space="preserve">)</t>
    </r>
  </si>
  <si>
    <t xml:space="preserve">아직 없어요</t>
  </si>
  <si>
    <t xml:space="preserve">적을수록 한결같음 성향으로 가중</t>
  </si>
  <si>
    <r>
      <rPr>
        <sz val="11"/>
        <color theme="1"/>
        <rFont val="Calibri"/>
        <family val="2"/>
        <charset val="1"/>
      </rPr>
      <t xml:space="preserve">Q1|</t>
    </r>
    <r>
      <rPr>
        <sz val="11"/>
        <color theme="1"/>
        <rFont val="Noto Sans CJK SC"/>
        <family val="2"/>
      </rPr>
      <t xml:space="preserve">아직 없어요</t>
    </r>
  </si>
  <si>
    <r>
      <rPr>
        <sz val="11"/>
        <rFont val="Arial"/>
        <family val="0"/>
        <charset val="1"/>
      </rPr>
      <t xml:space="preserve">1~2</t>
    </r>
    <r>
      <rPr>
        <sz val="11"/>
        <rFont val="Noto Sans CJK SC"/>
        <family val="2"/>
      </rPr>
      <t xml:space="preserve">개</t>
    </r>
  </si>
  <si>
    <r>
      <rPr>
        <sz val="11"/>
        <color theme="1"/>
        <rFont val="Calibri"/>
        <family val="2"/>
        <charset val="1"/>
      </rPr>
      <t xml:space="preserve">Q1|1~2</t>
    </r>
    <r>
      <rPr>
        <sz val="11"/>
        <color theme="1"/>
        <rFont val="Noto Sans CJK SC"/>
        <family val="2"/>
      </rPr>
      <t xml:space="preserve">개</t>
    </r>
  </si>
  <si>
    <r>
      <rPr>
        <sz val="11"/>
        <rFont val="Arial"/>
        <family val="0"/>
        <charset val="1"/>
      </rPr>
      <t xml:space="preserve">3~5</t>
    </r>
    <r>
      <rPr>
        <sz val="11"/>
        <rFont val="Noto Sans CJK SC"/>
        <family val="2"/>
      </rPr>
      <t xml:space="preserve">개</t>
    </r>
  </si>
  <si>
    <r>
      <rPr>
        <sz val="11"/>
        <color theme="1"/>
        <rFont val="Calibri"/>
        <family val="2"/>
        <charset val="1"/>
      </rPr>
      <t xml:space="preserve">Q1|3~5</t>
    </r>
    <r>
      <rPr>
        <sz val="11"/>
        <color theme="1"/>
        <rFont val="Noto Sans CJK SC"/>
        <family val="2"/>
      </rPr>
      <t xml:space="preserve">개</t>
    </r>
  </si>
  <si>
    <r>
      <rPr>
        <sz val="11"/>
        <rFont val="Arial"/>
        <family val="0"/>
        <charset val="1"/>
      </rPr>
      <t xml:space="preserve">6~10</t>
    </r>
    <r>
      <rPr>
        <sz val="11"/>
        <rFont val="Noto Sans CJK SC"/>
        <family val="2"/>
      </rPr>
      <t xml:space="preserve">개</t>
    </r>
  </si>
  <si>
    <r>
      <rPr>
        <sz val="11"/>
        <color theme="1"/>
        <rFont val="Calibri"/>
        <family val="2"/>
        <charset val="1"/>
      </rPr>
      <t xml:space="preserve">Q1|6~10</t>
    </r>
    <r>
      <rPr>
        <sz val="11"/>
        <color theme="1"/>
        <rFont val="Noto Sans CJK SC"/>
        <family val="2"/>
      </rPr>
      <t xml:space="preserve">개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</si>
  <si>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이상</t>
    </r>
  </si>
  <si>
    <t xml:space="preserve">많을수록 탐험적 성향으로 가중</t>
  </si>
  <si>
    <r>
      <rPr>
        <sz val="11"/>
        <color theme="1"/>
        <rFont val="Calibri"/>
        <family val="2"/>
        <charset val="1"/>
      </rPr>
      <t xml:space="preserve">Q1|10</t>
    </r>
    <r>
      <rPr>
        <sz val="11"/>
        <color theme="1"/>
        <rFont val="Noto Sans CJK SC"/>
        <family val="2"/>
      </rPr>
      <t xml:space="preserve">개 이상</t>
    </r>
  </si>
  <si>
    <t xml:space="preserve">Q2</t>
  </si>
  <si>
    <r>
      <rPr>
        <sz val="11"/>
        <rFont val="Noto Sans CJK SC"/>
        <family val="2"/>
      </rPr>
      <t xml:space="preserve">주로 언제 향수를 뿌리나요</t>
    </r>
    <r>
      <rPr>
        <sz val="11"/>
        <rFont val="Arial"/>
        <family val="0"/>
        <charset val="1"/>
      </rPr>
      <t xml:space="preserve">? (</t>
    </r>
    <r>
      <rPr>
        <sz val="11"/>
        <rFont val="Noto Sans CJK SC"/>
        <family val="2"/>
      </rPr>
      <t xml:space="preserve">복수선택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선택마다 합산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</si>
  <si>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출근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학교</t>
    </r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</si>
  <si>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출근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학교</t>
    </r>
  </si>
  <si>
    <t xml:space="preserve">데이트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</si>
  <si>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데이트</t>
    </r>
  </si>
  <si>
    <t xml:space="preserve">친구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</si>
  <si>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친구</t>
    </r>
  </si>
  <si>
    <t xml:space="preserve">특별한 날</t>
  </si>
  <si>
    <t xml:space="preserve">존재감 있는 향 선호 신호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</si>
  <si>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특별한 날</t>
    </r>
  </si>
  <si>
    <t xml:space="preserve">여행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</si>
  <si>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여행</t>
    </r>
  </si>
  <si>
    <t xml:space="preserve">잠들기 전</t>
  </si>
  <si>
    <t xml:space="preserve">은은한 향 선호 신호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</si>
  <si>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잠들기 전</t>
    </r>
  </si>
  <si>
    <t xml:space="preserve">기분 전환</t>
  </si>
  <si>
    <t xml:space="preserve">탐험적 성향 신호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</si>
  <si>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기분 전환</t>
    </r>
  </si>
  <si>
    <t xml:space="preserve">운동 후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</si>
  <si>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운동 후</t>
    </r>
  </si>
  <si>
    <t xml:space="preserve">실내에서</t>
  </si>
  <si>
    <r>
      <rPr>
        <sz val="11"/>
        <color theme="1"/>
        <rFont val="Calibri"/>
        <family val="2"/>
        <charset val="1"/>
      </rPr>
      <t xml:space="preserve">Q2|</t>
    </r>
    <r>
      <rPr>
        <sz val="11"/>
        <color theme="1"/>
        <rFont val="Noto Sans CJK SC"/>
        <family val="2"/>
      </rPr>
      <t xml:space="preserve">실내에서</t>
    </r>
  </si>
  <si>
    <t xml:space="preserve">Q3</t>
  </si>
  <si>
    <r>
      <rPr>
        <sz val="11"/>
        <rFont val="Noto Sans CJK SC"/>
        <family val="2"/>
      </rPr>
      <t xml:space="preserve">어떤 향에 끌리나요</t>
    </r>
    <r>
      <rPr>
        <sz val="11"/>
        <rFont val="Arial"/>
        <family val="0"/>
        <charset val="1"/>
      </rPr>
      <t xml:space="preserve">? (</t>
    </r>
    <r>
      <rPr>
        <sz val="11"/>
        <rFont val="Noto Sans CJK SC"/>
        <family val="2"/>
      </rPr>
      <t xml:space="preserve">복수선택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선택마다 합산</t>
    </r>
    <r>
      <rPr>
        <sz val="11"/>
        <rFont val="Arial"/>
        <family val="0"/>
        <charset val="1"/>
      </rPr>
      <t xml:space="preserve">)</t>
    </r>
  </si>
  <si>
    <t xml:space="preserve">플로럴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</si>
  <si>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플로럴</t>
    </r>
  </si>
  <si>
    <t xml:space="preserve">우디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</si>
  <si>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우디</t>
    </r>
  </si>
  <si>
    <t xml:space="preserve">머스크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</si>
  <si>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머스크</t>
    </r>
  </si>
  <si>
    <t xml:space="preserve">시트러스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</si>
  <si>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시트러스</t>
    </r>
  </si>
  <si>
    <t xml:space="preserve">아쿠아틱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</si>
  <si>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아쿠아틱</t>
    </r>
  </si>
  <si>
    <t xml:space="preserve">오리엔탈</t>
  </si>
  <si>
    <t xml:space="preserve">확실함 축 가장 강한 계열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</si>
  <si>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오리엔탈</t>
    </r>
  </si>
  <si>
    <t xml:space="preserve">파우더리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</si>
  <si>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파우더리</t>
    </r>
  </si>
  <si>
    <t xml:space="preserve">스파이시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</si>
  <si>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스파이시</t>
    </r>
  </si>
  <si>
    <t xml:space="preserve">그린</t>
  </si>
  <si>
    <r>
      <rPr>
        <sz val="11"/>
        <color theme="1"/>
        <rFont val="Calibri"/>
        <family val="2"/>
        <charset val="1"/>
      </rPr>
      <t xml:space="preserve">Q3|</t>
    </r>
    <r>
      <rPr>
        <sz val="11"/>
        <color theme="1"/>
        <rFont val="Noto Sans CJK SC"/>
        <family val="2"/>
      </rPr>
      <t xml:space="preserve">그린</t>
    </r>
  </si>
  <si>
    <t xml:space="preserve">Q4</t>
  </si>
  <si>
    <r>
      <rPr>
        <sz val="11"/>
        <rFont val="Noto Sans CJK SC"/>
        <family val="2"/>
      </rPr>
      <t xml:space="preserve">당신을 표현하는 무드는</t>
    </r>
    <r>
      <rPr>
        <sz val="11"/>
        <rFont val="Arial"/>
        <family val="0"/>
        <charset val="1"/>
      </rPr>
      <t xml:space="preserve">? (</t>
    </r>
    <r>
      <rPr>
        <sz val="11"/>
        <rFont val="Noto Sans CJK SC"/>
        <family val="2"/>
      </rPr>
      <t xml:space="preserve">단일선택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</si>
  <si>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미니멀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모던</t>
    </r>
  </si>
  <si>
    <r>
      <rPr>
        <sz val="11"/>
        <color theme="1"/>
        <rFont val="Calibri"/>
        <family val="2"/>
        <charset val="1"/>
      </rPr>
      <t xml:space="preserve">Q4|</t>
    </r>
    <r>
      <rPr>
        <sz val="11"/>
        <color theme="1"/>
        <rFont val="Noto Sans CJK SC"/>
        <family val="2"/>
      </rPr>
      <t xml:space="preserve">미니멀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모던</t>
    </r>
  </si>
  <si>
    <r>
      <rPr>
        <sz val="11"/>
        <rFont val="Noto Sans CJK SC"/>
        <family val="2"/>
      </rPr>
      <t xml:space="preserve">캐주얼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데일리</t>
    </r>
  </si>
  <si>
    <r>
      <rPr>
        <sz val="11"/>
        <color theme="1"/>
        <rFont val="Calibri"/>
        <family val="2"/>
        <charset val="1"/>
      </rPr>
      <t xml:space="preserve">Q4|</t>
    </r>
    <r>
      <rPr>
        <sz val="11"/>
        <color theme="1"/>
        <rFont val="Noto Sans CJK SC"/>
        <family val="2"/>
      </rPr>
      <t xml:space="preserve">캐주얼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데일리</t>
    </r>
  </si>
  <si>
    <r>
      <rPr>
        <sz val="11"/>
        <rFont val="Noto Sans CJK SC"/>
        <family val="2"/>
      </rPr>
      <t xml:space="preserve">스트릿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시크</t>
    </r>
  </si>
  <si>
    <r>
      <rPr>
        <sz val="11"/>
        <color theme="1"/>
        <rFont val="Calibri"/>
        <family val="2"/>
        <charset val="1"/>
      </rPr>
      <t xml:space="preserve">Q4|</t>
    </r>
    <r>
      <rPr>
        <sz val="11"/>
        <color theme="1"/>
        <rFont val="Noto Sans CJK SC"/>
        <family val="2"/>
      </rPr>
      <t xml:space="preserve">스트릿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시크</t>
    </r>
  </si>
  <si>
    <r>
      <rPr>
        <sz val="11"/>
        <rFont val="Noto Sans CJK SC"/>
        <family val="2"/>
      </rPr>
      <t xml:space="preserve">페미닌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로맨틱</t>
    </r>
  </si>
  <si>
    <r>
      <rPr>
        <sz val="11"/>
        <color theme="1"/>
        <rFont val="Calibri"/>
        <family val="2"/>
        <charset val="1"/>
      </rPr>
      <t xml:space="preserve">Q4|</t>
    </r>
    <r>
      <rPr>
        <sz val="11"/>
        <color theme="1"/>
        <rFont val="Noto Sans CJK SC"/>
        <family val="2"/>
      </rPr>
      <t xml:space="preserve">페미닌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로맨틱</t>
    </r>
  </si>
  <si>
    <t xml:space="preserve">Q5</t>
  </si>
  <si>
    <r>
      <rPr>
        <sz val="11"/>
        <rFont val="Noto Sans CJK SC"/>
        <family val="2"/>
      </rPr>
      <t xml:space="preserve">향을 대하는 당신의 방식은</t>
    </r>
    <r>
      <rPr>
        <sz val="11"/>
        <rFont val="Arial"/>
        <family val="0"/>
        <charset val="1"/>
      </rPr>
      <t xml:space="preserve">? (</t>
    </r>
    <r>
      <rPr>
        <sz val="11"/>
        <rFont val="Noto Sans CJK SC"/>
        <family val="2"/>
      </rPr>
      <t xml:space="preserve">단일선택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최고 가중치</t>
    </r>
    <r>
      <rPr>
        <sz val="11"/>
        <rFont val="Arial"/>
        <family val="0"/>
        <charset val="1"/>
      </rPr>
      <t xml:space="preserve">)</t>
    </r>
  </si>
  <si>
    <t xml:space="preserve">시그니처</t>
  </si>
  <si>
    <r>
      <rPr>
        <sz val="11"/>
        <rFont val="Noto Sans CJK SC"/>
        <family val="2"/>
      </rPr>
      <t xml:space="preserve">태도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축</t>
    </r>
    <r>
      <rPr>
        <sz val="11"/>
        <rFont val="Arial"/>
        <family val="0"/>
        <charset val="1"/>
      </rPr>
      <t xml:space="preserve">B) </t>
    </r>
    <r>
      <rPr>
        <sz val="11"/>
        <rFont val="Noto Sans CJK SC"/>
        <family val="2"/>
      </rPr>
      <t xml:space="preserve">결정에 가장 큰 영향</t>
    </r>
  </si>
  <si>
    <r>
      <rPr>
        <sz val="11"/>
        <color theme="1"/>
        <rFont val="Calibri"/>
        <family val="2"/>
        <charset val="1"/>
      </rPr>
      <t xml:space="preserve">Q5|</t>
    </r>
    <r>
      <rPr>
        <sz val="11"/>
        <color theme="1"/>
        <rFont val="Noto Sans CJK SC"/>
        <family val="2"/>
      </rPr>
      <t xml:space="preserve">시그니처</t>
    </r>
  </si>
  <si>
    <t xml:space="preserve">레이어링</t>
  </si>
  <si>
    <r>
      <rPr>
        <sz val="11"/>
        <color theme="1"/>
        <rFont val="Calibri"/>
        <family val="2"/>
        <charset val="1"/>
      </rPr>
      <t xml:space="preserve">Q5|</t>
    </r>
    <r>
      <rPr>
        <sz val="11"/>
        <color theme="1"/>
        <rFont val="Noto Sans CJK SC"/>
        <family val="2"/>
      </rPr>
      <t xml:space="preserve">레이어링</t>
    </r>
  </si>
  <si>
    <r>
      <rPr>
        <b val="true"/>
        <sz val="16"/>
        <rFont val="Noto Sans CJK SC"/>
        <family val="2"/>
      </rPr>
      <t xml:space="preserve">유형 결과 계산기 </t>
    </r>
    <r>
      <rPr>
        <b val="true"/>
        <sz val="16"/>
        <rFont val="Arial"/>
        <family val="0"/>
        <charset val="1"/>
      </rPr>
      <t xml:space="preserve">(</t>
    </r>
    <r>
      <rPr>
        <b val="true"/>
        <sz val="16"/>
        <rFont val="Noto Sans CJK SC"/>
        <family val="2"/>
      </rPr>
      <t xml:space="preserve">선택지를 입력하면 자동 산출</t>
    </r>
    <r>
      <rPr>
        <b val="true"/>
        <sz val="16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</si>
  <si>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노란 셀만 입력하세요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나머지는 자동 계산됩니다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</si>
  <si>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Q1. </t>
    </r>
    <r>
      <rPr>
        <b val="true"/>
        <sz val="11"/>
        <rFont val="Noto Sans CJK SC"/>
        <family val="2"/>
      </rPr>
      <t xml:space="preserve">향수 보유 개수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단일선택 — 드롭다운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</si>
  <si>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Q2. </t>
    </r>
    <r>
      <rPr>
        <b val="true"/>
        <sz val="11"/>
        <rFont val="Noto Sans CJK SC"/>
        <family val="2"/>
      </rPr>
      <t xml:space="preserve">뿌리는 상황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복수선택 — 선택 항목에 </t>
    </r>
    <r>
      <rPr>
        <b val="true"/>
        <sz val="11"/>
        <rFont val="Arial"/>
        <family val="0"/>
        <charset val="1"/>
      </rPr>
      <t xml:space="preserve">1, </t>
    </r>
    <r>
      <rPr>
        <b val="true"/>
        <sz val="11"/>
        <rFont val="Noto Sans CJK SC"/>
        <family val="2"/>
      </rPr>
      <t xml:space="preserve">아니면 </t>
    </r>
    <r>
      <rPr>
        <b val="true"/>
        <sz val="11"/>
        <rFont val="Arial"/>
        <family val="0"/>
        <charset val="1"/>
      </rPr>
      <t xml:space="preserve">0)</t>
    </r>
  </si>
  <si>
    <r>
      <rPr>
        <b val="true"/>
        <sz val="11"/>
        <rFont val="Arial"/>
        <family val="0"/>
        <charset val="1"/>
      </rPr>
      <t xml:space="preserve">Q3. </t>
    </r>
    <r>
      <rPr>
        <b val="true"/>
        <sz val="11"/>
        <rFont val="Noto Sans CJK SC"/>
        <family val="2"/>
      </rPr>
      <t xml:space="preserve">좋아하는 향 계열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복수선택 — 선택 항목에 </t>
    </r>
    <r>
      <rPr>
        <b val="true"/>
        <sz val="11"/>
        <rFont val="Arial"/>
        <family val="0"/>
        <charset val="1"/>
      </rPr>
      <t xml:space="preserve">1, </t>
    </r>
    <r>
      <rPr>
        <b val="true"/>
        <sz val="11"/>
        <rFont val="Noto Sans CJK SC"/>
        <family val="2"/>
      </rPr>
      <t xml:space="preserve">아니면 </t>
    </r>
    <r>
      <rPr>
        <b val="true"/>
        <sz val="11"/>
        <rFont val="Arial"/>
        <family val="0"/>
        <charset val="1"/>
      </rPr>
      <t xml:space="preserve">0)</t>
    </r>
  </si>
  <si>
    <r>
      <rPr>
        <b val="true"/>
        <sz val="11"/>
        <rFont val="Arial"/>
        <family val="0"/>
        <charset val="1"/>
      </rPr>
      <t xml:space="preserve">Q4. </t>
    </r>
    <r>
      <rPr>
        <b val="true"/>
        <sz val="11"/>
        <rFont val="Noto Sans CJK SC"/>
        <family val="2"/>
      </rPr>
      <t xml:space="preserve">분위기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스타일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단일선택 — 드롭다운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</si>
  <si>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color rgb="FF0000FF"/>
        <rFont val="Noto Sans CJK SC"/>
        <family val="2"/>
      </rPr>
      <t xml:space="preserve">미니멀</t>
    </r>
    <r>
      <rPr>
        <b val="true"/>
        <sz val="11"/>
        <color rgb="FF0000FF"/>
        <rFont val="Arial"/>
        <family val="0"/>
        <charset val="1"/>
      </rPr>
      <t xml:space="preserve">·</t>
    </r>
    <r>
      <rPr>
        <b val="true"/>
        <sz val="11"/>
        <color rgb="FF0000FF"/>
        <rFont val="Noto Sans CJK SC"/>
        <family val="2"/>
      </rPr>
      <t xml:space="preserve">모던</t>
    </r>
  </si>
  <si>
    <r>
      <rPr>
        <b val="true"/>
        <sz val="11"/>
        <rFont val="Arial"/>
        <family val="0"/>
        <charset val="1"/>
      </rPr>
      <t xml:space="preserve">Q5. </t>
    </r>
    <r>
      <rPr>
        <b val="true"/>
        <sz val="11"/>
        <rFont val="Noto Sans CJK SC"/>
        <family val="2"/>
      </rPr>
      <t xml:space="preserve">향을 대하는 방식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단일선택 — 드롭다운</t>
    </r>
    <r>
      <rPr>
        <b val="true"/>
        <sz val="11"/>
        <rFont val="Arial"/>
        <family val="0"/>
        <charset val="1"/>
      </rPr>
      <t xml:space="preserve">)</t>
    </r>
  </si>
  <si>
    <t xml:space="preserve">자동 계산 결과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</si>
  <si>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</si>
  <si>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B (</t>
    </r>
    <r>
      <rPr>
        <sz val="11"/>
        <color theme="1"/>
        <rFont val="Noto Sans CJK SC"/>
        <family val="2"/>
      </rPr>
      <t xml:space="preserve">합산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</si>
  <si>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B (</t>
    </r>
    <r>
      <rPr>
        <sz val="11"/>
        <color theme="1"/>
        <rFont val="Noto Sans CJK SC"/>
        <family val="2"/>
      </rPr>
      <t xml:space="preserve">합산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</si>
  <si>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</si>
  <si>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Q5 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축</t>
    </r>
    <r>
      <rPr>
        <sz val="11"/>
        <color theme="1"/>
        <rFont val="Calibri"/>
        <family val="2"/>
        <charset val="1"/>
      </rPr>
      <t xml:space="preserve">B</t>
    </r>
  </si>
  <si>
    <r>
      <rPr>
        <b val="true"/>
        <sz val="12"/>
        <rFont val="Noto Sans CJK SC"/>
        <family val="2"/>
      </rPr>
      <t xml:space="preserve">합계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축</t>
    </r>
    <r>
      <rPr>
        <b val="true"/>
        <sz val="12"/>
        <rFont val="Arial"/>
        <family val="0"/>
        <charset val="1"/>
      </rPr>
      <t xml:space="preserve">A / </t>
    </r>
    <r>
      <rPr>
        <b val="true"/>
        <sz val="12"/>
        <rFont val="Noto Sans CJK SC"/>
        <family val="2"/>
      </rPr>
      <t xml:space="preserve">축</t>
    </r>
    <r>
      <rPr>
        <b val="true"/>
        <sz val="12"/>
        <rFont val="Arial"/>
        <family val="0"/>
        <charset val="1"/>
      </rPr>
      <t xml:space="preserve">B)</t>
    </r>
  </si>
  <si>
    <r>
      <rPr>
        <b val="true"/>
        <sz val="11"/>
        <rFont val="Noto Sans CJK SC"/>
        <family val="2"/>
      </rPr>
      <t xml:space="preserve">축</t>
    </r>
    <r>
      <rPr>
        <b val="true"/>
        <sz val="11"/>
        <rFont val="Arial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판정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은은함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균형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확실함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</si>
  <si>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축</t>
    </r>
    <r>
      <rPr>
        <b val="true"/>
        <sz val="11"/>
        <rFont val="Arial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판정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한결같음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탐험적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</si>
  <si>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매칭키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내부계산용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</si>
  <si>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최종 유형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영문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</si>
  <si>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최종 유형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국문 서브</t>
    </r>
    <r>
      <rPr>
        <b val="true"/>
        <sz val="11"/>
        <rFont val="Arial"/>
        <family val="0"/>
        <charset val="1"/>
      </rPr>
      <t xml:space="preserve">)</t>
    </r>
  </si>
  <si>
    <t xml:space="preserve">유형 설명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</si>
</sst>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sz val="11"/>
      <name val="Arial"/>
      <family val="0"/>
      <charset val="1"/>
    </font>
    <font>
      <b val="true"/>
      <sz val="12"/>
      <color rgb="FFFF6A00"/>
      <name val="Noto Sans CJK SC"/>
      <family val="2"/>
    </font>
    <font>
      <sz val="11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6A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0000FF"/>
      <name val="Noto Sans CJK SC"/>
      <family val="2"/>
    </font>
    <font>
      <b val="true"/>
      <sz val="11"/>
      <color rgb="FF0000FF"/>
      <name val="Arial"/>
      <family val="0"/>
      <charset val="1"/>
    </font>
    <font>
      <b val="true"/>
      <sz val="13"/>
      <color rgb="FFFF6A00"/>
      <name val="Noto Sans CJK SC"/>
      <family val="2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E3CC"/>
        <bgColor rgb="FFFFF6CC"/>
      </patternFill>
    </fill>
    <fill>
      <patternFill patternType="solid">
        <fgColor rgb="FFFFF6CC"/>
        <bgColor rgb="FFFFE3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3CC"/>
      <rgbColor rgb="FF3366FF"/>
      <rgbColor rgb="FF33CCCC"/>
      <rgbColor rgb="FF99CC00"/>
      <rgbColor rgb="FFFFCC00"/>
      <rgbColor rgb="FFFF9900"/>
      <rgbColor rgb="FFFF6A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9.4" hidden="false" customHeight="false" outlineLevel="0" collapsed="false">
      <c r="B4" s="3" t="s">
        <v>1</v>
      </c>
    </row>
    <row r="5" customFormat="false" ht="17.15" hidden="false" customHeight="false" outlineLevel="0" collapsed="false">
      <c r="B5" s="4" t="s">
        <v>2</v>
      </c>
    </row>
    <row r="6" customFormat="false" ht="17.15" hidden="false" customHeight="false" outlineLevel="0" collapsed="false">
      <c r="B6" s="4" t="s">
        <v>3</v>
      </c>
    </row>
    <row r="7" customFormat="false" ht="17.15" hidden="false" customHeight="false" outlineLevel="0" collapsed="false">
      <c r="B7" s="4" t="s">
        <v>4</v>
      </c>
    </row>
    <row r="8" customFormat="false" ht="15" hidden="false" customHeight="false" outlineLevel="0" collapsed="false">
      <c r="B8" s="2"/>
    </row>
    <row r="9" customFormat="false" ht="19.4" hidden="false" customHeight="false" outlineLevel="0" collapsed="false">
      <c r="B9" s="3" t="s">
        <v>5</v>
      </c>
    </row>
    <row r="10" customFormat="false" ht="17.15" hidden="false" customHeight="false" outlineLevel="0" collapsed="false">
      <c r="B10" s="4" t="s">
        <v>6</v>
      </c>
    </row>
    <row r="11" customFormat="false" ht="17.15" hidden="false" customHeight="false" outlineLevel="0" collapsed="false">
      <c r="B11" s="4" t="s">
        <v>7</v>
      </c>
    </row>
    <row r="12" customFormat="false" ht="17.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2"/>
    </row>
    <row r="14" customFormat="false" ht="19.4" hidden="false" customHeight="false" outlineLevel="0" collapsed="false">
      <c r="B14" s="3" t="s">
        <v>9</v>
      </c>
    </row>
    <row r="15" customFormat="false" ht="17.15" hidden="false" customHeight="false" outlineLevel="0" collapsed="false">
      <c r="B15" s="4" t="s">
        <v>10</v>
      </c>
    </row>
    <row r="16" customFormat="false" ht="17.15" hidden="false" customHeight="false" outlineLevel="0" collapsed="false">
      <c r="B16" s="2" t="s">
        <v>11</v>
      </c>
    </row>
    <row r="17" customFormat="false" ht="17.15" hidden="false" customHeight="false" outlineLevel="0" collapsed="false">
      <c r="B17" s="2" t="s">
        <v>12</v>
      </c>
    </row>
    <row r="18" customFormat="false" ht="17.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2"/>
    </row>
    <row r="20" customFormat="false" ht="19.4" hidden="false" customHeight="false" outlineLevel="0" collapsed="false">
      <c r="B20" s="3" t="s">
        <v>14</v>
      </c>
    </row>
    <row r="21" customFormat="false" ht="17.15" hidden="false" customHeight="false" outlineLevel="0" collapsed="false">
      <c r="B21" s="2" t="s">
        <v>15</v>
      </c>
    </row>
    <row r="22" customFormat="false" ht="17.15" hidden="false" customHeight="false" outlineLevel="0" collapsed="false">
      <c r="B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8" min="7" style="0" width="12"/>
  </cols>
  <sheetData>
    <row r="2" customFormat="false" ht="23.85" hidden="false" customHeight="false" outlineLevel="0" collapsed="false">
      <c r="B2" s="1" t="s">
        <v>17</v>
      </c>
    </row>
    <row r="3" customFormat="false" ht="15" hidden="false" customHeight="false" outlineLevel="0" collapsed="false">
      <c r="B3" s="5" t="s">
        <v>18</v>
      </c>
    </row>
    <row r="5" customFormat="false" ht="45.5" hidden="false" customHeight="false" outlineLevel="0" collapsed="false">
      <c r="B5" s="6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</row>
    <row r="6" customFormat="false" ht="39.75" hidden="false" customHeight="true" outlineLevel="0" collapsed="false">
      <c r="B6" s="8" t="n">
        <v>1</v>
      </c>
      <c r="C6" s="9" t="s">
        <v>28</v>
      </c>
      <c r="D6" s="9" t="s">
        <v>29</v>
      </c>
      <c r="E6" s="10" t="s">
        <v>30</v>
      </c>
      <c r="F6" s="9" t="s">
        <v>31</v>
      </c>
      <c r="G6" s="11" t="s">
        <v>32</v>
      </c>
      <c r="H6" s="8" t="s">
        <v>33</v>
      </c>
      <c r="I6" s="8" t="s">
        <v>34</v>
      </c>
      <c r="J6" s="8" t="str">
        <f aca="false">C6&amp;"|"&amp;D6</f>
        <v>은은함|한결같음</v>
      </c>
    </row>
    <row r="7" customFormat="false" ht="39.75" hidden="false" customHeight="true" outlineLevel="0" collapsed="false">
      <c r="B7" s="8" t="n">
        <v>2</v>
      </c>
      <c r="C7" s="9" t="s">
        <v>35</v>
      </c>
      <c r="D7" s="9" t="s">
        <v>29</v>
      </c>
      <c r="E7" s="10" t="s">
        <v>36</v>
      </c>
      <c r="F7" s="9" t="s">
        <v>37</v>
      </c>
      <c r="G7" s="11" t="s">
        <v>38</v>
      </c>
      <c r="H7" s="8" t="s">
        <v>39</v>
      </c>
      <c r="I7" s="8" t="s">
        <v>40</v>
      </c>
      <c r="J7" s="8" t="str">
        <f aca="false">C7&amp;"|"&amp;D7</f>
        <v>균형|한결같음</v>
      </c>
    </row>
    <row r="8" customFormat="false" ht="39.75" hidden="false" customHeight="true" outlineLevel="0" collapsed="false">
      <c r="B8" s="8" t="n">
        <v>3</v>
      </c>
      <c r="C8" s="9" t="s">
        <v>41</v>
      </c>
      <c r="D8" s="9" t="s">
        <v>29</v>
      </c>
      <c r="E8" s="10" t="s">
        <v>42</v>
      </c>
      <c r="F8" s="9" t="s">
        <v>43</v>
      </c>
      <c r="G8" s="11" t="s">
        <v>44</v>
      </c>
      <c r="H8" s="8" t="s">
        <v>45</v>
      </c>
      <c r="I8" s="8" t="s">
        <v>46</v>
      </c>
      <c r="J8" s="8" t="str">
        <f aca="false">C8&amp;"|"&amp;D8</f>
        <v>확실함|한결같음</v>
      </c>
    </row>
    <row r="9" customFormat="false" ht="39.75" hidden="false" customHeight="true" outlineLevel="0" collapsed="false">
      <c r="B9" s="8" t="n">
        <v>4</v>
      </c>
      <c r="C9" s="9" t="s">
        <v>28</v>
      </c>
      <c r="D9" s="9" t="s">
        <v>47</v>
      </c>
      <c r="E9" s="10" t="s">
        <v>48</v>
      </c>
      <c r="F9" s="9" t="s">
        <v>49</v>
      </c>
      <c r="G9" s="11" t="s">
        <v>50</v>
      </c>
      <c r="H9" s="8" t="s">
        <v>33</v>
      </c>
      <c r="I9" s="8" t="s">
        <v>51</v>
      </c>
      <c r="J9" s="8" t="str">
        <f aca="false">C9&amp;"|"&amp;D9</f>
        <v>은은함|탐험적</v>
      </c>
    </row>
    <row r="10" customFormat="false" ht="39.75" hidden="false" customHeight="true" outlineLevel="0" collapsed="false">
      <c r="B10" s="8" t="n">
        <v>5</v>
      </c>
      <c r="C10" s="9" t="s">
        <v>35</v>
      </c>
      <c r="D10" s="9" t="s">
        <v>47</v>
      </c>
      <c r="E10" s="10" t="s">
        <v>52</v>
      </c>
      <c r="F10" s="9" t="s">
        <v>53</v>
      </c>
      <c r="G10" s="11" t="s">
        <v>54</v>
      </c>
      <c r="H10" s="8" t="s">
        <v>55</v>
      </c>
      <c r="I10" s="8" t="s">
        <v>56</v>
      </c>
      <c r="J10" s="8" t="str">
        <f aca="false">C10&amp;"|"&amp;D10</f>
        <v>균형|탐험적</v>
      </c>
    </row>
    <row r="11" customFormat="false" ht="39.75" hidden="false" customHeight="true" outlineLevel="0" collapsed="false">
      <c r="B11" s="8" t="n">
        <v>6</v>
      </c>
      <c r="C11" s="9" t="s">
        <v>41</v>
      </c>
      <c r="D11" s="9" t="s">
        <v>47</v>
      </c>
      <c r="E11" s="10" t="s">
        <v>57</v>
      </c>
      <c r="F11" s="9" t="s">
        <v>58</v>
      </c>
      <c r="G11" s="11" t="s">
        <v>59</v>
      </c>
      <c r="H11" s="8" t="s">
        <v>60</v>
      </c>
      <c r="I11" s="8" t="s">
        <v>61</v>
      </c>
      <c r="J11" s="8" t="str">
        <f aca="false">C11&amp;"|"&amp;D11</f>
        <v>확실함|탐험적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30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10" min="10" style="0" width="22"/>
    <col collapsed="false" customWidth="true" hidden="false" outlineLevel="0" max="12" min="11" style="0" width="8"/>
  </cols>
  <sheetData>
    <row r="2" customFormat="false" ht="23.85" hidden="false" customHeight="false" outlineLevel="0" collapsed="false">
      <c r="B2" s="12" t="s">
        <v>62</v>
      </c>
    </row>
    <row r="3" customFormat="false" ht="15" hidden="false" customHeight="false" outlineLevel="0" collapsed="false">
      <c r="B3" s="5" t="s">
        <v>63</v>
      </c>
    </row>
    <row r="5" customFormat="false" ht="17.15" hidden="false" customHeight="false" outlineLevel="0" collapsed="false"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J5" s="13" t="s">
        <v>70</v>
      </c>
      <c r="K5" s="14" t="s">
        <v>71</v>
      </c>
      <c r="L5" s="14" t="s">
        <v>72</v>
      </c>
    </row>
    <row r="6" customFormat="false" ht="32.8" hidden="false" customHeight="false" outlineLevel="0" collapsed="false">
      <c r="B6" s="15" t="s">
        <v>73</v>
      </c>
      <c r="C6" s="16" t="s">
        <v>74</v>
      </c>
      <c r="D6" s="17" t="s">
        <v>75</v>
      </c>
      <c r="E6" s="15" t="n">
        <v>0</v>
      </c>
      <c r="F6" s="15" t="n">
        <v>-2</v>
      </c>
      <c r="G6" s="16" t="s">
        <v>76</v>
      </c>
      <c r="J6" s="18" t="s">
        <v>77</v>
      </c>
      <c r="K6" s="0" t="n">
        <v>0</v>
      </c>
      <c r="L6" s="0" t="n">
        <v>-2</v>
      </c>
    </row>
    <row r="7" customFormat="false" ht="17.15" hidden="false" customHeight="false" outlineLevel="0" collapsed="false">
      <c r="B7" s="15" t="s">
        <v>73</v>
      </c>
      <c r="C7" s="16"/>
      <c r="D7" s="15" t="s">
        <v>78</v>
      </c>
      <c r="E7" s="15" t="n">
        <v>0</v>
      </c>
      <c r="F7" s="15" t="n">
        <v>-1</v>
      </c>
      <c r="G7" s="16"/>
      <c r="J7" s="18" t="s">
        <v>79</v>
      </c>
      <c r="K7" s="0" t="n">
        <v>0</v>
      </c>
      <c r="L7" s="0" t="n">
        <v>-1</v>
      </c>
    </row>
    <row r="8" customFormat="false" ht="17.15" hidden="false" customHeight="false" outlineLevel="0" collapsed="false">
      <c r="B8" s="15" t="s">
        <v>73</v>
      </c>
      <c r="C8" s="16"/>
      <c r="D8" s="15" t="s">
        <v>80</v>
      </c>
      <c r="E8" s="15" t="n">
        <v>0</v>
      </c>
      <c r="F8" s="15" t="n">
        <v>0</v>
      </c>
      <c r="G8" s="16"/>
      <c r="J8" s="18" t="s">
        <v>81</v>
      </c>
      <c r="K8" s="0" t="n">
        <v>0</v>
      </c>
      <c r="L8" s="0" t="n">
        <v>0</v>
      </c>
    </row>
    <row r="9" customFormat="false" ht="17.15" hidden="false" customHeight="false" outlineLevel="0" collapsed="false">
      <c r="B9" s="15" t="s">
        <v>73</v>
      </c>
      <c r="C9" s="16"/>
      <c r="D9" s="15" t="s">
        <v>82</v>
      </c>
      <c r="E9" s="15" t="n">
        <v>0</v>
      </c>
      <c r="F9" s="15" t="n">
        <v>1</v>
      </c>
      <c r="G9" s="16"/>
      <c r="J9" s="18" t="s">
        <v>83</v>
      </c>
      <c r="K9" s="0" t="n">
        <v>0</v>
      </c>
      <c r="L9" s="0" t="n">
        <v>1</v>
      </c>
    </row>
    <row r="10" customFormat="false" ht="17.15" hidden="false" customHeight="false" outlineLevel="0" collapsed="false">
      <c r="B10" s="15" t="s">
        <v>73</v>
      </c>
      <c r="C10" s="16"/>
      <c r="D10" s="15" t="s">
        <v>84</v>
      </c>
      <c r="E10" s="15" t="n">
        <v>0</v>
      </c>
      <c r="F10" s="15" t="n">
        <v>2</v>
      </c>
      <c r="G10" s="16" t="s">
        <v>85</v>
      </c>
      <c r="J10" s="18" t="s">
        <v>86</v>
      </c>
      <c r="K10" s="0" t="n">
        <v>0</v>
      </c>
      <c r="L10" s="0" t="n">
        <v>2</v>
      </c>
    </row>
    <row r="11" customFormat="false" ht="32.8" hidden="false" customHeight="false" outlineLevel="0" collapsed="false">
      <c r="B11" s="19" t="s">
        <v>87</v>
      </c>
      <c r="C11" s="20" t="s">
        <v>88</v>
      </c>
      <c r="D11" s="21" t="s">
        <v>89</v>
      </c>
      <c r="E11" s="19" t="n">
        <v>0</v>
      </c>
      <c r="F11" s="19" t="n">
        <v>0</v>
      </c>
      <c r="G11" s="20"/>
      <c r="J11" s="18" t="s">
        <v>90</v>
      </c>
      <c r="K11" s="0" t="n">
        <v>0</v>
      </c>
      <c r="L11" s="0" t="n">
        <v>0</v>
      </c>
    </row>
    <row r="12" customFormat="false" ht="17.15" hidden="false" customHeight="false" outlineLevel="0" collapsed="false">
      <c r="B12" s="19" t="s">
        <v>87</v>
      </c>
      <c r="C12" s="20"/>
      <c r="D12" s="21" t="s">
        <v>91</v>
      </c>
      <c r="E12" s="19" t="n">
        <v>1</v>
      </c>
      <c r="F12" s="19" t="n">
        <v>0</v>
      </c>
      <c r="G12" s="20"/>
      <c r="J12" s="18" t="s">
        <v>92</v>
      </c>
      <c r="K12" s="0" t="n">
        <v>1</v>
      </c>
      <c r="L12" s="0" t="n">
        <v>0</v>
      </c>
    </row>
    <row r="13" customFormat="false" ht="17.15" hidden="false" customHeight="false" outlineLevel="0" collapsed="false">
      <c r="B13" s="19" t="s">
        <v>87</v>
      </c>
      <c r="C13" s="20"/>
      <c r="D13" s="21" t="s">
        <v>93</v>
      </c>
      <c r="E13" s="19" t="n">
        <v>0</v>
      </c>
      <c r="F13" s="19" t="n">
        <v>0</v>
      </c>
      <c r="G13" s="20"/>
      <c r="J13" s="18" t="s">
        <v>94</v>
      </c>
      <c r="K13" s="0" t="n">
        <v>0</v>
      </c>
      <c r="L13" s="0" t="n">
        <v>0</v>
      </c>
    </row>
    <row r="14" customFormat="false" ht="17.15" hidden="false" customHeight="false" outlineLevel="0" collapsed="false">
      <c r="B14" s="19" t="s">
        <v>87</v>
      </c>
      <c r="C14" s="20"/>
      <c r="D14" s="21" t="s">
        <v>95</v>
      </c>
      <c r="E14" s="19" t="n">
        <v>2</v>
      </c>
      <c r="F14" s="19" t="n">
        <v>0</v>
      </c>
      <c r="G14" s="20" t="s">
        <v>96</v>
      </c>
      <c r="J14" s="18" t="s">
        <v>97</v>
      </c>
      <c r="K14" s="0" t="n">
        <v>2</v>
      </c>
      <c r="L14" s="0" t="n">
        <v>0</v>
      </c>
    </row>
    <row r="15" customFormat="false" ht="17.15" hidden="false" customHeight="false" outlineLevel="0" collapsed="false">
      <c r="B15" s="19" t="s">
        <v>87</v>
      </c>
      <c r="C15" s="20"/>
      <c r="D15" s="21" t="s">
        <v>98</v>
      </c>
      <c r="E15" s="19" t="n">
        <v>0</v>
      </c>
      <c r="F15" s="19" t="n">
        <v>1</v>
      </c>
      <c r="G15" s="20"/>
      <c r="J15" s="18" t="s">
        <v>99</v>
      </c>
      <c r="K15" s="0" t="n">
        <v>0</v>
      </c>
      <c r="L15" s="0" t="n">
        <v>1</v>
      </c>
    </row>
    <row r="16" customFormat="false" ht="17.15" hidden="false" customHeight="false" outlineLevel="0" collapsed="false">
      <c r="B16" s="19" t="s">
        <v>87</v>
      </c>
      <c r="C16" s="20"/>
      <c r="D16" s="21" t="s">
        <v>100</v>
      </c>
      <c r="E16" s="19" t="n">
        <v>-1</v>
      </c>
      <c r="F16" s="19" t="n">
        <v>0</v>
      </c>
      <c r="G16" s="20" t="s">
        <v>101</v>
      </c>
      <c r="J16" s="18" t="s">
        <v>102</v>
      </c>
      <c r="K16" s="0" t="n">
        <v>-1</v>
      </c>
      <c r="L16" s="0" t="n">
        <v>0</v>
      </c>
    </row>
    <row r="17" customFormat="false" ht="17.15" hidden="false" customHeight="false" outlineLevel="0" collapsed="false">
      <c r="B17" s="19" t="s">
        <v>87</v>
      </c>
      <c r="C17" s="20"/>
      <c r="D17" s="21" t="s">
        <v>103</v>
      </c>
      <c r="E17" s="19" t="n">
        <v>0</v>
      </c>
      <c r="F17" s="19" t="n">
        <v>1</v>
      </c>
      <c r="G17" s="20" t="s">
        <v>104</v>
      </c>
      <c r="J17" s="18" t="s">
        <v>105</v>
      </c>
      <c r="K17" s="0" t="n">
        <v>0</v>
      </c>
      <c r="L17" s="0" t="n">
        <v>1</v>
      </c>
    </row>
    <row r="18" customFormat="false" ht="17.15" hidden="false" customHeight="false" outlineLevel="0" collapsed="false">
      <c r="B18" s="19" t="s">
        <v>87</v>
      </c>
      <c r="C18" s="20"/>
      <c r="D18" s="21" t="s">
        <v>106</v>
      </c>
      <c r="E18" s="19" t="n">
        <v>-1</v>
      </c>
      <c r="F18" s="19" t="n">
        <v>0</v>
      </c>
      <c r="G18" s="20"/>
      <c r="J18" s="18" t="s">
        <v>107</v>
      </c>
      <c r="K18" s="0" t="n">
        <v>-1</v>
      </c>
      <c r="L18" s="0" t="n">
        <v>0</v>
      </c>
    </row>
    <row r="19" customFormat="false" ht="17.15" hidden="false" customHeight="false" outlineLevel="0" collapsed="false">
      <c r="B19" s="19" t="s">
        <v>87</v>
      </c>
      <c r="C19" s="20"/>
      <c r="D19" s="21" t="s">
        <v>108</v>
      </c>
      <c r="E19" s="19" t="n">
        <v>-1</v>
      </c>
      <c r="F19" s="19" t="n">
        <v>-1</v>
      </c>
      <c r="G19" s="20"/>
      <c r="J19" s="18" t="s">
        <v>109</v>
      </c>
      <c r="K19" s="0" t="n">
        <v>-1</v>
      </c>
      <c r="L19" s="0" t="n">
        <v>-1</v>
      </c>
    </row>
    <row r="20" customFormat="false" ht="32.8" hidden="false" customHeight="false" outlineLevel="0" collapsed="false">
      <c r="B20" s="15" t="s">
        <v>110</v>
      </c>
      <c r="C20" s="16" t="s">
        <v>111</v>
      </c>
      <c r="D20" s="17" t="s">
        <v>112</v>
      </c>
      <c r="E20" s="15" t="n">
        <v>0</v>
      </c>
      <c r="F20" s="15" t="n">
        <v>0</v>
      </c>
      <c r="G20" s="16"/>
      <c r="J20" s="18" t="s">
        <v>113</v>
      </c>
      <c r="K20" s="0" t="n">
        <v>0</v>
      </c>
      <c r="L20" s="0" t="n">
        <v>0</v>
      </c>
    </row>
    <row r="21" customFormat="false" ht="17.15" hidden="false" customHeight="false" outlineLevel="0" collapsed="false">
      <c r="B21" s="15" t="s">
        <v>110</v>
      </c>
      <c r="C21" s="16"/>
      <c r="D21" s="17" t="s">
        <v>114</v>
      </c>
      <c r="E21" s="15" t="n">
        <v>1</v>
      </c>
      <c r="F21" s="15" t="n">
        <v>0</v>
      </c>
      <c r="G21" s="16"/>
      <c r="J21" s="18" t="s">
        <v>115</v>
      </c>
      <c r="K21" s="0" t="n">
        <v>1</v>
      </c>
      <c r="L21" s="0" t="n">
        <v>0</v>
      </c>
    </row>
    <row r="22" customFormat="false" ht="17.15" hidden="false" customHeight="false" outlineLevel="0" collapsed="false">
      <c r="B22" s="15" t="s">
        <v>110</v>
      </c>
      <c r="C22" s="16"/>
      <c r="D22" s="17" t="s">
        <v>116</v>
      </c>
      <c r="E22" s="15" t="n">
        <v>-1</v>
      </c>
      <c r="F22" s="15" t="n">
        <v>0</v>
      </c>
      <c r="G22" s="16"/>
      <c r="J22" s="18" t="s">
        <v>117</v>
      </c>
      <c r="K22" s="0" t="n">
        <v>-1</v>
      </c>
      <c r="L22" s="0" t="n">
        <v>0</v>
      </c>
    </row>
    <row r="23" customFormat="false" ht="17.15" hidden="false" customHeight="false" outlineLevel="0" collapsed="false">
      <c r="B23" s="15" t="s">
        <v>110</v>
      </c>
      <c r="C23" s="16"/>
      <c r="D23" s="17" t="s">
        <v>118</v>
      </c>
      <c r="E23" s="15" t="n">
        <v>0</v>
      </c>
      <c r="F23" s="15" t="n">
        <v>0</v>
      </c>
      <c r="G23" s="16"/>
      <c r="J23" s="18" t="s">
        <v>119</v>
      </c>
      <c r="K23" s="0" t="n">
        <v>0</v>
      </c>
      <c r="L23" s="0" t="n">
        <v>0</v>
      </c>
    </row>
    <row r="24" customFormat="false" ht="17.15" hidden="false" customHeight="false" outlineLevel="0" collapsed="false">
      <c r="B24" s="15" t="s">
        <v>110</v>
      </c>
      <c r="C24" s="16"/>
      <c r="D24" s="17" t="s">
        <v>120</v>
      </c>
      <c r="E24" s="15" t="n">
        <v>-1</v>
      </c>
      <c r="F24" s="15" t="n">
        <v>0</v>
      </c>
      <c r="G24" s="16"/>
      <c r="J24" s="18" t="s">
        <v>121</v>
      </c>
      <c r="K24" s="0" t="n">
        <v>-1</v>
      </c>
      <c r="L24" s="0" t="n">
        <v>0</v>
      </c>
    </row>
    <row r="25" customFormat="false" ht="17.15" hidden="false" customHeight="false" outlineLevel="0" collapsed="false">
      <c r="B25" s="15" t="s">
        <v>110</v>
      </c>
      <c r="C25" s="16"/>
      <c r="D25" s="17" t="s">
        <v>122</v>
      </c>
      <c r="E25" s="15" t="n">
        <v>2</v>
      </c>
      <c r="F25" s="15" t="n">
        <v>0</v>
      </c>
      <c r="G25" s="16" t="s">
        <v>123</v>
      </c>
      <c r="J25" s="18" t="s">
        <v>124</v>
      </c>
      <c r="K25" s="0" t="n">
        <v>2</v>
      </c>
      <c r="L25" s="0" t="n">
        <v>0</v>
      </c>
    </row>
    <row r="26" customFormat="false" ht="17.15" hidden="false" customHeight="false" outlineLevel="0" collapsed="false">
      <c r="B26" s="15" t="s">
        <v>110</v>
      </c>
      <c r="C26" s="16"/>
      <c r="D26" s="17" t="s">
        <v>125</v>
      </c>
      <c r="E26" s="15" t="n">
        <v>-1</v>
      </c>
      <c r="F26" s="15" t="n">
        <v>0</v>
      </c>
      <c r="G26" s="16"/>
      <c r="J26" s="18" t="s">
        <v>126</v>
      </c>
      <c r="K26" s="0" t="n">
        <v>-1</v>
      </c>
      <c r="L26" s="0" t="n">
        <v>0</v>
      </c>
    </row>
    <row r="27" customFormat="false" ht="17.15" hidden="false" customHeight="false" outlineLevel="0" collapsed="false">
      <c r="B27" s="15" t="s">
        <v>110</v>
      </c>
      <c r="C27" s="16"/>
      <c r="D27" s="17" t="s">
        <v>127</v>
      </c>
      <c r="E27" s="15" t="n">
        <v>1</v>
      </c>
      <c r="F27" s="15" t="n">
        <v>1</v>
      </c>
      <c r="G27" s="16"/>
      <c r="J27" s="18" t="s">
        <v>128</v>
      </c>
      <c r="K27" s="0" t="n">
        <v>1</v>
      </c>
      <c r="L27" s="0" t="n">
        <v>1</v>
      </c>
    </row>
    <row r="28" customFormat="false" ht="17.15" hidden="false" customHeight="false" outlineLevel="0" collapsed="false">
      <c r="B28" s="15" t="s">
        <v>110</v>
      </c>
      <c r="C28" s="16"/>
      <c r="D28" s="17" t="s">
        <v>129</v>
      </c>
      <c r="E28" s="15" t="n">
        <v>-1</v>
      </c>
      <c r="F28" s="15" t="n">
        <v>0</v>
      </c>
      <c r="G28" s="16"/>
      <c r="J28" s="18" t="s">
        <v>130</v>
      </c>
      <c r="K28" s="0" t="n">
        <v>-1</v>
      </c>
      <c r="L28" s="0" t="n">
        <v>0</v>
      </c>
    </row>
    <row r="29" customFormat="false" ht="32.8" hidden="false" customHeight="false" outlineLevel="0" collapsed="false">
      <c r="B29" s="19" t="s">
        <v>131</v>
      </c>
      <c r="C29" s="20" t="s">
        <v>132</v>
      </c>
      <c r="D29" s="21" t="s">
        <v>133</v>
      </c>
      <c r="E29" s="19" t="n">
        <v>-1</v>
      </c>
      <c r="F29" s="19" t="n">
        <v>-1</v>
      </c>
      <c r="G29" s="20"/>
      <c r="J29" s="18" t="s">
        <v>134</v>
      </c>
      <c r="K29" s="0" t="n">
        <v>-1</v>
      </c>
      <c r="L29" s="0" t="n">
        <v>-1</v>
      </c>
    </row>
    <row r="30" customFormat="false" ht="17.15" hidden="false" customHeight="false" outlineLevel="0" collapsed="false">
      <c r="B30" s="19" t="s">
        <v>131</v>
      </c>
      <c r="C30" s="20"/>
      <c r="D30" s="21" t="s">
        <v>135</v>
      </c>
      <c r="E30" s="19" t="n">
        <v>-1</v>
      </c>
      <c r="F30" s="19" t="n">
        <v>0</v>
      </c>
      <c r="G30" s="20"/>
      <c r="J30" s="18" t="s">
        <v>136</v>
      </c>
      <c r="K30" s="0" t="n">
        <v>-1</v>
      </c>
      <c r="L30" s="0" t="n">
        <v>0</v>
      </c>
    </row>
    <row r="31" customFormat="false" ht="17.15" hidden="false" customHeight="false" outlineLevel="0" collapsed="false">
      <c r="B31" s="19" t="s">
        <v>131</v>
      </c>
      <c r="C31" s="20"/>
      <c r="D31" s="21" t="s">
        <v>137</v>
      </c>
      <c r="E31" s="19" t="n">
        <v>2</v>
      </c>
      <c r="F31" s="19" t="n">
        <v>1</v>
      </c>
      <c r="G31" s="20"/>
      <c r="J31" s="18" t="s">
        <v>138</v>
      </c>
      <c r="K31" s="0" t="n">
        <v>2</v>
      </c>
      <c r="L31" s="0" t="n">
        <v>1</v>
      </c>
    </row>
    <row r="32" customFormat="false" ht="17.15" hidden="false" customHeight="false" outlineLevel="0" collapsed="false">
      <c r="B32" s="19" t="s">
        <v>131</v>
      </c>
      <c r="C32" s="20"/>
      <c r="D32" s="21" t="s">
        <v>139</v>
      </c>
      <c r="E32" s="19" t="n">
        <v>0</v>
      </c>
      <c r="F32" s="19" t="n">
        <v>1</v>
      </c>
      <c r="G32" s="20"/>
      <c r="J32" s="18" t="s">
        <v>140</v>
      </c>
      <c r="K32" s="0" t="n">
        <v>0</v>
      </c>
      <c r="L32" s="0" t="n">
        <v>1</v>
      </c>
    </row>
    <row r="33" customFormat="false" ht="32.8" hidden="false" customHeight="false" outlineLevel="0" collapsed="false">
      <c r="B33" s="15" t="s">
        <v>141</v>
      </c>
      <c r="C33" s="16" t="s">
        <v>142</v>
      </c>
      <c r="D33" s="17" t="s">
        <v>143</v>
      </c>
      <c r="E33" s="15" t="n">
        <v>0</v>
      </c>
      <c r="F33" s="15" t="n">
        <v>-3</v>
      </c>
      <c r="G33" s="16" t="s">
        <v>144</v>
      </c>
      <c r="J33" s="18" t="s">
        <v>145</v>
      </c>
      <c r="K33" s="0" t="n">
        <v>0</v>
      </c>
      <c r="L33" s="0" t="n">
        <v>-3</v>
      </c>
    </row>
    <row r="34" customFormat="false" ht="17.15" hidden="false" customHeight="false" outlineLevel="0" collapsed="false">
      <c r="B34" s="15" t="s">
        <v>141</v>
      </c>
      <c r="C34" s="16"/>
      <c r="D34" s="17" t="s">
        <v>146</v>
      </c>
      <c r="E34" s="15" t="n">
        <v>0</v>
      </c>
      <c r="F34" s="15" t="n">
        <v>3</v>
      </c>
      <c r="G34" s="16" t="s">
        <v>144</v>
      </c>
      <c r="J34" s="18" t="s">
        <v>147</v>
      </c>
      <c r="K34" s="0" t="n">
        <v>0</v>
      </c>
      <c r="L34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0"/>
  </cols>
  <sheetData>
    <row r="2" customFormat="false" ht="23.85" hidden="false" customHeight="false" outlineLevel="0" collapsed="false">
      <c r="B2" s="12" t="s">
        <v>148</v>
      </c>
    </row>
    <row r="3" customFormat="false" ht="15" hidden="false" customHeight="false" outlineLevel="0" collapsed="false">
      <c r="B3" s="5" t="s">
        <v>149</v>
      </c>
    </row>
    <row r="5" customFormat="false" ht="17.15" hidden="false" customHeight="false" outlineLevel="0" collapsed="false">
      <c r="B5" s="13" t="s">
        <v>150</v>
      </c>
      <c r="D5" s="22" t="s">
        <v>75</v>
      </c>
    </row>
    <row r="7" customFormat="false" ht="17.15" hidden="false" customHeight="false" outlineLevel="0" collapsed="false">
      <c r="B7" s="13" t="s">
        <v>151</v>
      </c>
    </row>
    <row r="8" customFormat="false" ht="17.15" hidden="false" customHeight="false" outlineLevel="0" collapsed="false">
      <c r="C8" s="23" t="s">
        <v>89</v>
      </c>
      <c r="D8" s="24" t="n">
        <v>0</v>
      </c>
    </row>
    <row r="9" customFormat="false" ht="15" hidden="false" customHeight="false" outlineLevel="0" collapsed="false">
      <c r="C9" s="23" t="s">
        <v>91</v>
      </c>
      <c r="D9" s="24" t="n">
        <v>0</v>
      </c>
    </row>
    <row r="10" customFormat="false" ht="15" hidden="false" customHeight="false" outlineLevel="0" collapsed="false">
      <c r="C10" s="23" t="s">
        <v>93</v>
      </c>
      <c r="D10" s="24" t="n">
        <v>0</v>
      </c>
    </row>
    <row r="11" customFormat="false" ht="15" hidden="false" customHeight="false" outlineLevel="0" collapsed="false">
      <c r="C11" s="23" t="s">
        <v>95</v>
      </c>
      <c r="D11" s="24" t="n">
        <v>0</v>
      </c>
    </row>
    <row r="12" customFormat="false" ht="15" hidden="false" customHeight="false" outlineLevel="0" collapsed="false">
      <c r="C12" s="23" t="s">
        <v>98</v>
      </c>
      <c r="D12" s="24" t="n">
        <v>0</v>
      </c>
    </row>
    <row r="13" customFormat="false" ht="15" hidden="false" customHeight="false" outlineLevel="0" collapsed="false">
      <c r="C13" s="23" t="s">
        <v>100</v>
      </c>
      <c r="D13" s="24" t="n">
        <v>0</v>
      </c>
    </row>
    <row r="14" customFormat="false" ht="15" hidden="false" customHeight="false" outlineLevel="0" collapsed="false">
      <c r="C14" s="23" t="s">
        <v>103</v>
      </c>
      <c r="D14" s="24" t="n">
        <v>0</v>
      </c>
    </row>
    <row r="15" customFormat="false" ht="15" hidden="false" customHeight="false" outlineLevel="0" collapsed="false">
      <c r="C15" s="23" t="s">
        <v>106</v>
      </c>
      <c r="D15" s="24" t="n">
        <v>0</v>
      </c>
    </row>
    <row r="16" customFormat="false" ht="15" hidden="false" customHeight="false" outlineLevel="0" collapsed="false">
      <c r="C16" s="23" t="s">
        <v>108</v>
      </c>
      <c r="D16" s="24" t="n">
        <v>0</v>
      </c>
    </row>
    <row r="18" customFormat="false" ht="17.15" hidden="false" customHeight="false" outlineLevel="0" collapsed="false">
      <c r="B18" s="13" t="s">
        <v>152</v>
      </c>
    </row>
    <row r="19" customFormat="false" ht="15" hidden="false" customHeight="false" outlineLevel="0" collapsed="false">
      <c r="C19" s="23" t="s">
        <v>112</v>
      </c>
      <c r="D19" s="24" t="n">
        <v>0</v>
      </c>
    </row>
    <row r="20" customFormat="false" ht="15" hidden="false" customHeight="false" outlineLevel="0" collapsed="false">
      <c r="C20" s="23" t="s">
        <v>114</v>
      </c>
      <c r="D20" s="24" t="n">
        <v>0</v>
      </c>
    </row>
    <row r="21" customFormat="false" ht="15" hidden="false" customHeight="false" outlineLevel="0" collapsed="false">
      <c r="C21" s="23" t="s">
        <v>116</v>
      </c>
      <c r="D21" s="24" t="n">
        <v>0</v>
      </c>
    </row>
    <row r="22" customFormat="false" ht="15" hidden="false" customHeight="false" outlineLevel="0" collapsed="false">
      <c r="C22" s="23" t="s">
        <v>118</v>
      </c>
      <c r="D22" s="24" t="n">
        <v>0</v>
      </c>
    </row>
    <row r="23" customFormat="false" ht="15" hidden="false" customHeight="false" outlineLevel="0" collapsed="false">
      <c r="C23" s="23" t="s">
        <v>120</v>
      </c>
      <c r="D23" s="24" t="n">
        <v>0</v>
      </c>
    </row>
    <row r="24" customFormat="false" ht="15" hidden="false" customHeight="false" outlineLevel="0" collapsed="false">
      <c r="C24" s="23" t="s">
        <v>122</v>
      </c>
      <c r="D24" s="24" t="n">
        <v>0</v>
      </c>
    </row>
    <row r="25" customFormat="false" ht="15" hidden="false" customHeight="false" outlineLevel="0" collapsed="false">
      <c r="C25" s="23" t="s">
        <v>125</v>
      </c>
      <c r="D25" s="24" t="n">
        <v>0</v>
      </c>
    </row>
    <row r="26" customFormat="false" ht="15" hidden="false" customHeight="false" outlineLevel="0" collapsed="false">
      <c r="C26" s="23" t="s">
        <v>127</v>
      </c>
      <c r="D26" s="24" t="n">
        <v>0</v>
      </c>
    </row>
    <row r="27" customFormat="false" ht="15" hidden="false" customHeight="false" outlineLevel="0" collapsed="false">
      <c r="C27" s="23" t="s">
        <v>129</v>
      </c>
      <c r="D27" s="24" t="n">
        <v>0</v>
      </c>
    </row>
    <row r="29" customFormat="false" ht="17.15" hidden="false" customHeight="false" outlineLevel="0" collapsed="false">
      <c r="B29" s="13" t="s">
        <v>153</v>
      </c>
      <c r="D29" s="22" t="s">
        <v>154</v>
      </c>
    </row>
    <row r="31" customFormat="false" ht="17.15" hidden="false" customHeight="false" outlineLevel="0" collapsed="false">
      <c r="B31" s="13" t="s">
        <v>155</v>
      </c>
      <c r="D31" s="22" t="s">
        <v>143</v>
      </c>
    </row>
    <row r="34" customFormat="false" ht="16.15" hidden="false" customHeight="false" outlineLevel="0" collapsed="false">
      <c r="B34" s="25" t="s">
        <v>156</v>
      </c>
    </row>
    <row r="35" customFormat="false" ht="17.15" hidden="false" customHeight="false" outlineLevel="0" collapsed="false">
      <c r="B35" s="0" t="s">
        <v>157</v>
      </c>
      <c r="D35" s="0" t="n">
        <f aca="false">INDEX(질문별점수표!$K$6:$K$34,MATCH("Q1|"&amp;$D$5,질문별점수표!$J$6:$J$34,0))</f>
        <v>0</v>
      </c>
      <c r="E35" s="0" t="n">
        <f aca="false">INDEX(질문별점수표!$L$6:$L$34,MATCH("Q1|"&amp;$D$5,질문별점수표!$J$6:$J$34,0))</f>
        <v>-2</v>
      </c>
    </row>
    <row r="36" customFormat="false" ht="17.15" hidden="false" customHeight="false" outlineLevel="0" collapsed="false">
      <c r="B36" s="0" t="s">
        <v>158</v>
      </c>
      <c r="D36" s="0" t="n">
        <f aca="false">$D$8*INDEX(질문별점수표!$K$6:$K$34,MATCH("Q2|출근/학교",질문별점수표!$J$6:$J$34,0))+$D$9*INDEX(질문별점수표!$K$6:$K$34,MATCH("Q2|데이트",질문별점수표!$J$6:$J$34,0))+$D$10*INDEX(질문별점수표!$K$6:$K$34,MATCH("Q2|친구",질문별점수표!$J$6:$J$34,0))+$D$11*INDEX(질문별점수표!$K$6:$K$34,MATCH("Q2|특별한 날",질문별점수표!$J$6:$J$34,0))+$D$12*INDEX(질문별점수표!$K$6:$K$34,MATCH("Q2|여행",질문별점수표!$J$6:$J$34,0))+$D$13*INDEX(질문별점수표!$K$6:$K$34,MATCH("Q2|잠들기 전",질문별점수표!$J$6:$J$34,0))+$D$14*INDEX(질문별점수표!$K$6:$K$34,MATCH("Q2|기분 전환",질문별점수표!$J$6:$J$34,0))+$D$15*INDEX(질문별점수표!$K$6:$K$34,MATCH("Q2|운동 후",질문별점수표!$J$6:$J$34,0))+$D$16*INDEX(질문별점수표!$K$6:$K$34,MATCH("Q2|실내에서",질문별점수표!$J$6:$J$34,0))</f>
        <v>0</v>
      </c>
      <c r="E36" s="0" t="n">
        <f aca="false">$D$8*INDEX(질문별점수표!$L$6:$L$34,MATCH("Q2|출근/학교",질문별점수표!$J$6:$J$34,0))+$D$9*INDEX(질문별점수표!$L$6:$L$34,MATCH("Q2|데이트",질문별점수표!$J$6:$J$34,0))+$D$10*INDEX(질문별점수표!$L$6:$L$34,MATCH("Q2|친구",질문별점수표!$J$6:$J$34,0))+$D$11*INDEX(질문별점수표!$L$6:$L$34,MATCH("Q2|특별한 날",질문별점수표!$J$6:$J$34,0))+$D$12*INDEX(질문별점수표!$L$6:$L$34,MATCH("Q2|여행",질문별점수표!$J$6:$J$34,0))+$D$13*INDEX(질문별점수표!$L$6:$L$34,MATCH("Q2|잠들기 전",질문별점수표!$J$6:$J$34,0))+$D$14*INDEX(질문별점수표!$L$6:$L$34,MATCH("Q2|기분 전환",질문별점수표!$J$6:$J$34,0))+$D$15*INDEX(질문별점수표!$L$6:$L$34,MATCH("Q2|운동 후",질문별점수표!$J$6:$J$34,0))+$D$16*INDEX(질문별점수표!$L$6:$L$34,MATCH("Q2|실내에서",질문별점수표!$J$6:$J$34,0))</f>
        <v>0</v>
      </c>
    </row>
    <row r="37" customFormat="false" ht="17.15" hidden="false" customHeight="false" outlineLevel="0" collapsed="false">
      <c r="B37" s="0" t="s">
        <v>159</v>
      </c>
      <c r="D37" s="0" t="n">
        <f aca="false">$D$19*INDEX(질문별점수표!$K$6:$K$34,MATCH("Q3|플로럴",질문별점수표!$J$6:$J$34,0))+$D$20*INDEX(질문별점수표!$K$6:$K$34,MATCH("Q3|우디",질문별점수표!$J$6:$J$34,0))+$D$21*INDEX(질문별점수표!$K$6:$K$34,MATCH("Q3|머스크",질문별점수표!$J$6:$J$34,0))+$D$22*INDEX(질문별점수표!$K$6:$K$34,MATCH("Q3|시트러스",질문별점수표!$J$6:$J$34,0))+$D$23*INDEX(질문별점수표!$K$6:$K$34,MATCH("Q3|아쿠아틱",질문별점수표!$J$6:$J$34,0))+$D$24*INDEX(질문별점수표!$K$6:$K$34,MATCH("Q3|오리엔탈",질문별점수표!$J$6:$J$34,0))+$D$25*INDEX(질문별점수표!$K$6:$K$34,MATCH("Q3|파우더리",질문별점수표!$J$6:$J$34,0))+$D$26*INDEX(질문별점수표!$K$6:$K$34,MATCH("Q3|스파이시",질문별점수표!$J$6:$J$34,0))+$D$27*INDEX(질문별점수표!$K$6:$K$34,MATCH("Q3|그린",질문별점수표!$J$6:$J$34,0))</f>
        <v>0</v>
      </c>
      <c r="E37" s="0" t="n">
        <f aca="false">$D$19*INDEX(질문별점수표!$L$6:$L$34,MATCH("Q3|플로럴",질문별점수표!$J$6:$J$34,0))+$D$20*INDEX(질문별점수표!$L$6:$L$34,MATCH("Q3|우디",질문별점수표!$J$6:$J$34,0))+$D$21*INDEX(질문별점수표!$L$6:$L$34,MATCH("Q3|머스크",질문별점수표!$J$6:$J$34,0))+$D$22*INDEX(질문별점수표!$L$6:$L$34,MATCH("Q3|시트러스",질문별점수표!$J$6:$J$34,0))+$D$23*INDEX(질문별점수표!$L$6:$L$34,MATCH("Q3|아쿠아틱",질문별점수표!$J$6:$J$34,0))+$D$24*INDEX(질문별점수표!$L$6:$L$34,MATCH("Q3|오리엔탈",질문별점수표!$J$6:$J$34,0))+$D$25*INDEX(질문별점수표!$L$6:$L$34,MATCH("Q3|파우더리",질문별점수표!$J$6:$J$34,0))+$D$26*INDEX(질문별점수표!$L$6:$L$34,MATCH("Q3|스파이시",질문별점수표!$J$6:$J$34,0))+$D$27*INDEX(질문별점수표!$L$6:$L$34,MATCH("Q3|그린",질문별점수표!$J$6:$J$34,0))</f>
        <v>0</v>
      </c>
    </row>
    <row r="38" customFormat="false" ht="17.15" hidden="false" customHeight="false" outlineLevel="0" collapsed="false">
      <c r="B38" s="0" t="s">
        <v>160</v>
      </c>
      <c r="D38" s="0" t="n">
        <f aca="false">INDEX(질문별점수표!$K$6:$K$34,MATCH("Q4|"&amp;$D$29,질문별점수표!$J$6:$J$34,0))</f>
        <v>-1</v>
      </c>
      <c r="E38" s="0" t="n">
        <f aca="false">INDEX(질문별점수표!$L$6:$L$34,MATCH("Q4|"&amp;$D$29,질문별점수표!$J$6:$J$34,0))</f>
        <v>-1</v>
      </c>
    </row>
    <row r="39" customFormat="false" ht="17.15" hidden="false" customHeight="false" outlineLevel="0" collapsed="false">
      <c r="B39" s="0" t="s">
        <v>161</v>
      </c>
      <c r="D39" s="0" t="n">
        <f aca="false">INDEX(질문별점수표!$K$6:$K$34,MATCH("Q5|"&amp;$D$31,질문별점수표!$J$6:$J$34,0))</f>
        <v>0</v>
      </c>
      <c r="E39" s="0" t="n">
        <f aca="false">INDEX(질문별점수표!$L$6:$L$34,MATCH("Q5|"&amp;$D$31,질문별점수표!$J$6:$J$34,0))</f>
        <v>-3</v>
      </c>
    </row>
    <row r="41" customFormat="false" ht="19.4" hidden="false" customHeight="false" outlineLevel="0" collapsed="false">
      <c r="B41" s="26" t="s">
        <v>162</v>
      </c>
      <c r="D41" s="27" t="n">
        <f aca="false">SUM(D35:D39)</f>
        <v>-1</v>
      </c>
      <c r="E41" s="27" t="n">
        <f aca="false">SUM(E35:E39)</f>
        <v>-6</v>
      </c>
    </row>
    <row r="43" customFormat="false" ht="17.15" hidden="false" customHeight="false" outlineLevel="0" collapsed="false">
      <c r="B43" s="14" t="s">
        <v>163</v>
      </c>
      <c r="D43" s="28" t="str">
        <f aca="false">IF(D41&lt;=-2,"은은함",IF(D41&gt;=2,"확실함","균형"))</f>
        <v>균형</v>
      </c>
    </row>
    <row r="44" customFormat="false" ht="17.15" hidden="false" customHeight="false" outlineLevel="0" collapsed="false">
      <c r="B44" s="14" t="s">
        <v>164</v>
      </c>
      <c r="D44" s="28" t="str">
        <f aca="false">IF(E41&gt;=0,"탐험적","한결같음")</f>
        <v>한결같음</v>
      </c>
    </row>
    <row r="47" customFormat="false" ht="15" hidden="false" customHeight="false" outlineLevel="0" collapsed="false">
      <c r="B47" s="5" t="s">
        <v>165</v>
      </c>
      <c r="D47" s="5" t="str">
        <f aca="false">D43&amp;"|"&amp;D44</f>
        <v>균형|한결같음</v>
      </c>
    </row>
    <row r="49" customFormat="false" ht="21.6" hidden="false" customHeight="false" outlineLevel="0" collapsed="false">
      <c r="B49" s="29" t="s">
        <v>166</v>
      </c>
      <c r="D49" s="30" t="str">
        <f aca="false">INDEX(유형정의!$E$6:$E$11,MATCH(D47,유형정의!$J$6:$J$11,0))</f>
        <v>Daily Basic</v>
      </c>
      <c r="E49" s="30"/>
    </row>
    <row r="50" customFormat="false" ht="17.15" hidden="false" customHeight="false" outlineLevel="0" collapsed="false">
      <c r="B50" s="14" t="s">
        <v>167</v>
      </c>
      <c r="D50" s="31" t="str">
        <f aca="false">INDEX(유형정의!$F$6:$F$11,MATCH(D47,유형정의!$J$6:$J$11,0))</f>
        <v>데일리 베이직형</v>
      </c>
      <c r="E50" s="31"/>
    </row>
    <row r="51" customFormat="false" ht="30" hidden="false" customHeight="true" outlineLevel="0" collapsed="false">
      <c r="B51" s="14" t="s">
        <v>168</v>
      </c>
      <c r="D51" s="32" t="str">
        <f aca="false">INDEX(유형정의!$G$6:$G$11,MATCH(D47,유형정의!$J$6:$J$11,0))</f>
        <v>부담 없이 매일 쓸 수 있는 무난한 향을 꾸준히 선택하는 타입</v>
      </c>
      <c r="E51" s="32"/>
    </row>
  </sheetData>
  <mergeCells count="3">
    <mergeCell ref="D49:E49"/>
    <mergeCell ref="D50:E50"/>
    <mergeCell ref="D51:E51"/>
  </mergeCells>
  <dataValidations count="3">
    <dataValidation allowBlank="false" errorStyle="stop" operator="between" showDropDown="false" showErrorMessage="false" showInputMessage="false" sqref="D5" type="list">
      <formula1>"아직 없어요,1~2개,3~5개,6~10개,10개 이상"</formula1>
      <formula2>0</formula2>
    </dataValidation>
    <dataValidation allowBlank="false" errorStyle="stop" operator="between" showDropDown="false" showErrorMessage="false" showInputMessage="false" sqref="D29" type="list">
      <formula1>"미니멀·모던,캐주얼·데일리,스트릿·시크,페미닌·로맨틱"</formula1>
      <formula2>0</formula2>
    </dataValidation>
    <dataValidation allowBlank="false" errorStyle="stop" operator="between" showDropDown="false" showErrorMessage="false" showInputMessage="false" sqref="D31" type="list">
      <formula1>"시그니처,레이어링"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2026-07-13T03:25:49Z</dcterms:created>
  <dc:creator>openpyxl</dc:creator>
  <dc:description/>
  <dc:language>en-US</dc:language>
  <cp:lastModifiedBy/>
  <dcterms:modified xsi:type="dcterms:W3CDTF">2026-07-13T03:25:49Z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